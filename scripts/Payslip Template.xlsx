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octor Khoza\Desktop\Clients\Formalize\"/>
    </mc:Choice>
  </mc:AlternateContent>
  <xr:revisionPtr revIDLastSave="0" documentId="13_ncr:1_{EF49FECC-2A00-415E-AEC5-8D8E96DD13EB}" xr6:coauthVersionLast="47" xr6:coauthVersionMax="47" xr10:uidLastSave="{00000000-0000-0000-0000-000000000000}"/>
  <bookViews>
    <workbookView xWindow="20370" yWindow="-120" windowWidth="20730" windowHeight="11760" tabRatio="500" activeTab="2" xr2:uid="{00000000-000D-0000-FFFF-FFFF00000000}"/>
  </bookViews>
  <sheets>
    <sheet name="Payslip Template" sheetId="1" r:id="rId1"/>
    <sheet name="Companies" sheetId="2" r:id="rId2"/>
    <sheet name="Employees" sheetId="3" r:id="rId3"/>
    <sheet name="Payroll Data" sheetId="4" r:id="rId4"/>
    <sheet name="Settings" sheetId="5" r:id="rId5"/>
  </sheets>
  <definedNames>
    <definedName name="AccountTypeList">Settings!$H$2:$H$4</definedName>
    <definedName name="CompanyList">Companies!$B$2:$B$50</definedName>
    <definedName name="EmployeeList">Employees!$C$2:$C$301</definedName>
    <definedName name="EmployeeStatusList">Settings!$N$2:$N$5</definedName>
    <definedName name="FilteredEmployeeList">OFFSET(Employees!$U$2,0,0,COUNTIF(Employees!$A$2:$A$301,'Payslip Template'!$B$2),1)</definedName>
    <definedName name="PayFrequencyList">Settings!$F$2:$F$4</definedName>
    <definedName name="PaymentModeList">Settings!$L$2:$L$4</definedName>
    <definedName name="PayPeriodList">'Payroll Data'!$A$2:$A$1000</definedName>
    <definedName name="_xlnm.Print_Area" localSheetId="0">'Payslip Template'!$A$1:$G$56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10" i="3" l="1"/>
  <c r="AC100" i="4"/>
  <c r="P100" i="4"/>
  <c r="G100" i="4"/>
  <c r="L100" i="4" s="1"/>
  <c r="M100" i="4" s="1"/>
  <c r="E100" i="4"/>
  <c r="AC99" i="4"/>
  <c r="P99" i="4"/>
  <c r="G99" i="4"/>
  <c r="L99" i="4" s="1"/>
  <c r="M99" i="4" s="1"/>
  <c r="E99" i="4"/>
  <c r="AC98" i="4"/>
  <c r="P98" i="4"/>
  <c r="G98" i="4"/>
  <c r="L98" i="4" s="1"/>
  <c r="M98" i="4" s="1"/>
  <c r="E98" i="4"/>
  <c r="AC97" i="4"/>
  <c r="P97" i="4"/>
  <c r="G97" i="4"/>
  <c r="E97" i="4"/>
  <c r="AC96" i="4"/>
  <c r="P96" i="4"/>
  <c r="G96" i="4"/>
  <c r="L96" i="4" s="1"/>
  <c r="M96" i="4" s="1"/>
  <c r="E96" i="4"/>
  <c r="AC95" i="4"/>
  <c r="P95" i="4"/>
  <c r="G95" i="4"/>
  <c r="E95" i="4"/>
  <c r="AC94" i="4"/>
  <c r="P94" i="4"/>
  <c r="G94" i="4"/>
  <c r="L94" i="4" s="1"/>
  <c r="M94" i="4" s="1"/>
  <c r="E94" i="4"/>
  <c r="AC93" i="4"/>
  <c r="P93" i="4"/>
  <c r="G93" i="4"/>
  <c r="E93" i="4"/>
  <c r="AC92" i="4"/>
  <c r="P92" i="4"/>
  <c r="G92" i="4"/>
  <c r="L92" i="4" s="1"/>
  <c r="M92" i="4" s="1"/>
  <c r="E92" i="4"/>
  <c r="AC91" i="4"/>
  <c r="P91" i="4"/>
  <c r="G91" i="4"/>
  <c r="E91" i="4"/>
  <c r="AC90" i="4"/>
  <c r="P90" i="4"/>
  <c r="G90" i="4"/>
  <c r="L90" i="4" s="1"/>
  <c r="M90" i="4" s="1"/>
  <c r="E90" i="4"/>
  <c r="AC89" i="4"/>
  <c r="P89" i="4"/>
  <c r="G89" i="4"/>
  <c r="E89" i="4"/>
  <c r="AC88" i="4"/>
  <c r="P88" i="4"/>
  <c r="G88" i="4"/>
  <c r="L88" i="4" s="1"/>
  <c r="M88" i="4" s="1"/>
  <c r="E88" i="4"/>
  <c r="AC87" i="4"/>
  <c r="P87" i="4"/>
  <c r="G87" i="4"/>
  <c r="E87" i="4"/>
  <c r="AC86" i="4"/>
  <c r="P86" i="4"/>
  <c r="G86" i="4"/>
  <c r="L86" i="4" s="1"/>
  <c r="M86" i="4" s="1"/>
  <c r="E86" i="4"/>
  <c r="AC85" i="4"/>
  <c r="P85" i="4"/>
  <c r="G85" i="4"/>
  <c r="E85" i="4"/>
  <c r="AC84" i="4"/>
  <c r="P84" i="4"/>
  <c r="G84" i="4"/>
  <c r="L84" i="4" s="1"/>
  <c r="M84" i="4" s="1"/>
  <c r="E84" i="4"/>
  <c r="AC83" i="4"/>
  <c r="P83" i="4"/>
  <c r="G83" i="4"/>
  <c r="E83" i="4"/>
  <c r="AC82" i="4"/>
  <c r="P82" i="4"/>
  <c r="G82" i="4"/>
  <c r="L82" i="4" s="1"/>
  <c r="M82" i="4" s="1"/>
  <c r="E82" i="4"/>
  <c r="AC81" i="4"/>
  <c r="P81" i="4"/>
  <c r="G81" i="4"/>
  <c r="E81" i="4"/>
  <c r="AC80" i="4"/>
  <c r="P80" i="4"/>
  <c r="G80" i="4"/>
  <c r="L80" i="4" s="1"/>
  <c r="M80" i="4" s="1"/>
  <c r="E80" i="4"/>
  <c r="AC79" i="4"/>
  <c r="P79" i="4"/>
  <c r="G79" i="4"/>
  <c r="E79" i="4"/>
  <c r="AC78" i="4"/>
  <c r="P78" i="4"/>
  <c r="G78" i="4"/>
  <c r="L78" i="4" s="1"/>
  <c r="M78" i="4" s="1"/>
  <c r="E78" i="4"/>
  <c r="AC77" i="4"/>
  <c r="P77" i="4"/>
  <c r="G77" i="4"/>
  <c r="E77" i="4"/>
  <c r="AC76" i="4"/>
  <c r="P76" i="4"/>
  <c r="G76" i="4"/>
  <c r="L76" i="4" s="1"/>
  <c r="M76" i="4" s="1"/>
  <c r="E76" i="4"/>
  <c r="AC75" i="4"/>
  <c r="P75" i="4"/>
  <c r="G75" i="4"/>
  <c r="E75" i="4"/>
  <c r="AC74" i="4"/>
  <c r="P74" i="4"/>
  <c r="G74" i="4"/>
  <c r="L74" i="4" s="1"/>
  <c r="M74" i="4" s="1"/>
  <c r="E74" i="4"/>
  <c r="AC73" i="4"/>
  <c r="P73" i="4"/>
  <c r="G73" i="4"/>
  <c r="E73" i="4"/>
  <c r="AC72" i="4"/>
  <c r="P72" i="4"/>
  <c r="G72" i="4"/>
  <c r="L72" i="4" s="1"/>
  <c r="M72" i="4" s="1"/>
  <c r="E72" i="4"/>
  <c r="AC71" i="4"/>
  <c r="P71" i="4"/>
  <c r="G71" i="4"/>
  <c r="E71" i="4"/>
  <c r="AC70" i="4"/>
  <c r="P70" i="4"/>
  <c r="G70" i="4"/>
  <c r="L70" i="4" s="1"/>
  <c r="M70" i="4" s="1"/>
  <c r="E70" i="4"/>
  <c r="AC69" i="4"/>
  <c r="P69" i="4"/>
  <c r="G69" i="4"/>
  <c r="E69" i="4"/>
  <c r="AC68" i="4"/>
  <c r="P68" i="4"/>
  <c r="G68" i="4"/>
  <c r="L68" i="4" s="1"/>
  <c r="M68" i="4" s="1"/>
  <c r="E68" i="4"/>
  <c r="AC67" i="4"/>
  <c r="P67" i="4"/>
  <c r="G67" i="4"/>
  <c r="E67" i="4"/>
  <c r="AC66" i="4"/>
  <c r="P66" i="4"/>
  <c r="G66" i="4"/>
  <c r="L66" i="4" s="1"/>
  <c r="M66" i="4" s="1"/>
  <c r="E66" i="4"/>
  <c r="AC65" i="4"/>
  <c r="P65" i="4"/>
  <c r="G65" i="4"/>
  <c r="E65" i="4"/>
  <c r="AC64" i="4"/>
  <c r="P64" i="4"/>
  <c r="G64" i="4"/>
  <c r="L64" i="4" s="1"/>
  <c r="M64" i="4" s="1"/>
  <c r="E64" i="4"/>
  <c r="AC63" i="4"/>
  <c r="P63" i="4"/>
  <c r="G63" i="4"/>
  <c r="E63" i="4"/>
  <c r="AC62" i="4"/>
  <c r="P62" i="4"/>
  <c r="G62" i="4"/>
  <c r="L62" i="4" s="1"/>
  <c r="M62" i="4" s="1"/>
  <c r="E62" i="4"/>
  <c r="AC61" i="4"/>
  <c r="P61" i="4"/>
  <c r="G61" i="4"/>
  <c r="E61" i="4"/>
  <c r="AC60" i="4"/>
  <c r="P60" i="4"/>
  <c r="G60" i="4"/>
  <c r="L60" i="4" s="1"/>
  <c r="M60" i="4" s="1"/>
  <c r="E60" i="4"/>
  <c r="AC59" i="4"/>
  <c r="P59" i="4"/>
  <c r="G59" i="4"/>
  <c r="E59" i="4"/>
  <c r="AC58" i="4"/>
  <c r="P58" i="4"/>
  <c r="G58" i="4"/>
  <c r="E58" i="4"/>
  <c r="AC57" i="4"/>
  <c r="P57" i="4"/>
  <c r="G57" i="4"/>
  <c r="E57" i="4"/>
  <c r="AC56" i="4"/>
  <c r="P56" i="4"/>
  <c r="G56" i="4"/>
  <c r="E56" i="4"/>
  <c r="AC55" i="4"/>
  <c r="P55" i="4"/>
  <c r="G55" i="4"/>
  <c r="E55" i="4"/>
  <c r="AC54" i="4"/>
  <c r="P54" i="4"/>
  <c r="G54" i="4"/>
  <c r="E54" i="4"/>
  <c r="AC53" i="4"/>
  <c r="P53" i="4"/>
  <c r="G53" i="4"/>
  <c r="E53" i="4"/>
  <c r="AC52" i="4"/>
  <c r="P52" i="4"/>
  <c r="G52" i="4"/>
  <c r="I52" i="4" s="1"/>
  <c r="J52" i="4" s="1"/>
  <c r="E52" i="4"/>
  <c r="AC51" i="4"/>
  <c r="P51" i="4"/>
  <c r="G51" i="4"/>
  <c r="L51" i="4" s="1"/>
  <c r="M51" i="4" s="1"/>
  <c r="E51" i="4"/>
  <c r="AC50" i="4"/>
  <c r="P50" i="4"/>
  <c r="L50" i="4"/>
  <c r="M50" i="4" s="1"/>
  <c r="G50" i="4"/>
  <c r="I50" i="4" s="1"/>
  <c r="J50" i="4" s="1"/>
  <c r="E50" i="4"/>
  <c r="AC49" i="4"/>
  <c r="P49" i="4"/>
  <c r="G49" i="4"/>
  <c r="L49" i="4" s="1"/>
  <c r="M49" i="4" s="1"/>
  <c r="E49" i="4"/>
  <c r="AC48" i="4"/>
  <c r="P48" i="4"/>
  <c r="G48" i="4"/>
  <c r="L48" i="4" s="1"/>
  <c r="M48" i="4" s="1"/>
  <c r="E48" i="4"/>
  <c r="AC47" i="4"/>
  <c r="P47" i="4"/>
  <c r="G47" i="4"/>
  <c r="L47" i="4" s="1"/>
  <c r="M47" i="4" s="1"/>
  <c r="E47" i="4"/>
  <c r="AC46" i="4"/>
  <c r="P46" i="4"/>
  <c r="G46" i="4"/>
  <c r="I46" i="4" s="1"/>
  <c r="J46" i="4" s="1"/>
  <c r="E46" i="4"/>
  <c r="AC45" i="4"/>
  <c r="P45" i="4"/>
  <c r="G45" i="4"/>
  <c r="L45" i="4" s="1"/>
  <c r="M45" i="4" s="1"/>
  <c r="E45" i="4"/>
  <c r="AC44" i="4"/>
  <c r="P44" i="4"/>
  <c r="G44" i="4"/>
  <c r="L44" i="4" s="1"/>
  <c r="M44" i="4" s="1"/>
  <c r="E44" i="4"/>
  <c r="AC43" i="4"/>
  <c r="P43" i="4"/>
  <c r="G43" i="4"/>
  <c r="L43" i="4" s="1"/>
  <c r="M43" i="4" s="1"/>
  <c r="E43" i="4"/>
  <c r="AC42" i="4"/>
  <c r="P42" i="4"/>
  <c r="G42" i="4"/>
  <c r="I42" i="4" s="1"/>
  <c r="J42" i="4" s="1"/>
  <c r="E42" i="4"/>
  <c r="AC41" i="4"/>
  <c r="P41" i="4"/>
  <c r="G41" i="4"/>
  <c r="L41" i="4" s="1"/>
  <c r="M41" i="4" s="1"/>
  <c r="E41" i="4"/>
  <c r="AC40" i="4"/>
  <c r="P40" i="4"/>
  <c r="G40" i="4"/>
  <c r="L40" i="4" s="1"/>
  <c r="M40" i="4" s="1"/>
  <c r="E40" i="4"/>
  <c r="AC39" i="4"/>
  <c r="P39" i="4"/>
  <c r="G39" i="4"/>
  <c r="L39" i="4" s="1"/>
  <c r="M39" i="4" s="1"/>
  <c r="E39" i="4"/>
  <c r="AC38" i="4"/>
  <c r="P38" i="4"/>
  <c r="G38" i="4"/>
  <c r="I38" i="4" s="1"/>
  <c r="J38" i="4" s="1"/>
  <c r="E38" i="4"/>
  <c r="AC37" i="4"/>
  <c r="P37" i="4"/>
  <c r="G37" i="4"/>
  <c r="L37" i="4" s="1"/>
  <c r="M37" i="4" s="1"/>
  <c r="E37" i="4"/>
  <c r="AC36" i="4"/>
  <c r="P36" i="4"/>
  <c r="G36" i="4"/>
  <c r="L36" i="4" s="1"/>
  <c r="M36" i="4" s="1"/>
  <c r="E36" i="4"/>
  <c r="AC35" i="4"/>
  <c r="P35" i="4"/>
  <c r="G35" i="4"/>
  <c r="L35" i="4" s="1"/>
  <c r="M35" i="4" s="1"/>
  <c r="E35" i="4"/>
  <c r="AC34" i="4"/>
  <c r="P34" i="4"/>
  <c r="G34" i="4"/>
  <c r="I34" i="4" s="1"/>
  <c r="J34" i="4" s="1"/>
  <c r="E34" i="4"/>
  <c r="AC33" i="4"/>
  <c r="P33" i="4"/>
  <c r="G33" i="4"/>
  <c r="L33" i="4" s="1"/>
  <c r="M33" i="4" s="1"/>
  <c r="E33" i="4"/>
  <c r="AC32" i="4"/>
  <c r="P32" i="4"/>
  <c r="G32" i="4"/>
  <c r="L32" i="4" s="1"/>
  <c r="M32" i="4" s="1"/>
  <c r="E32" i="4"/>
  <c r="AC31" i="4"/>
  <c r="P31" i="4"/>
  <c r="G31" i="4"/>
  <c r="L31" i="4" s="1"/>
  <c r="M31" i="4" s="1"/>
  <c r="E31" i="4"/>
  <c r="AC30" i="4"/>
  <c r="P30" i="4"/>
  <c r="G30" i="4"/>
  <c r="I30" i="4" s="1"/>
  <c r="J30" i="4" s="1"/>
  <c r="E30" i="4"/>
  <c r="AC29" i="4"/>
  <c r="P29" i="4"/>
  <c r="G29" i="4"/>
  <c r="L29" i="4" s="1"/>
  <c r="M29" i="4" s="1"/>
  <c r="E29" i="4"/>
  <c r="AC28" i="4"/>
  <c r="P28" i="4"/>
  <c r="G28" i="4"/>
  <c r="L28" i="4" s="1"/>
  <c r="M28" i="4" s="1"/>
  <c r="E28" i="4"/>
  <c r="AC27" i="4"/>
  <c r="P27" i="4"/>
  <c r="G27" i="4"/>
  <c r="L27" i="4" s="1"/>
  <c r="M27" i="4" s="1"/>
  <c r="E27" i="4"/>
  <c r="AC26" i="4"/>
  <c r="P26" i="4"/>
  <c r="G26" i="4"/>
  <c r="L26" i="4" s="1"/>
  <c r="M26" i="4" s="1"/>
  <c r="E26" i="4"/>
  <c r="AC25" i="4"/>
  <c r="P25" i="4"/>
  <c r="G25" i="4"/>
  <c r="L25" i="4" s="1"/>
  <c r="M25" i="4" s="1"/>
  <c r="E25" i="4"/>
  <c r="AC24" i="4"/>
  <c r="P24" i="4"/>
  <c r="G24" i="4"/>
  <c r="L24" i="4" s="1"/>
  <c r="M24" i="4" s="1"/>
  <c r="E24" i="4"/>
  <c r="AC23" i="4"/>
  <c r="P23" i="4"/>
  <c r="G23" i="4"/>
  <c r="L23" i="4" s="1"/>
  <c r="M23" i="4" s="1"/>
  <c r="E23" i="4"/>
  <c r="AC22" i="4"/>
  <c r="P22" i="4"/>
  <c r="G22" i="4"/>
  <c r="L22" i="4" s="1"/>
  <c r="M22" i="4" s="1"/>
  <c r="E22" i="4"/>
  <c r="AC21" i="4"/>
  <c r="P21" i="4"/>
  <c r="G21" i="4"/>
  <c r="L21" i="4" s="1"/>
  <c r="M21" i="4" s="1"/>
  <c r="E21" i="4"/>
  <c r="AC20" i="4"/>
  <c r="P20" i="4"/>
  <c r="G20" i="4"/>
  <c r="L20" i="4" s="1"/>
  <c r="M20" i="4" s="1"/>
  <c r="E20" i="4"/>
  <c r="AC19" i="4"/>
  <c r="P19" i="4"/>
  <c r="G19" i="4"/>
  <c r="L19" i="4" s="1"/>
  <c r="M19" i="4" s="1"/>
  <c r="E19" i="4"/>
  <c r="AC18" i="4"/>
  <c r="P18" i="4"/>
  <c r="G18" i="4"/>
  <c r="L18" i="4" s="1"/>
  <c r="M18" i="4" s="1"/>
  <c r="E18" i="4"/>
  <c r="AC17" i="4"/>
  <c r="P17" i="4"/>
  <c r="G17" i="4"/>
  <c r="L17" i="4" s="1"/>
  <c r="M17" i="4" s="1"/>
  <c r="E17" i="4"/>
  <c r="AC16" i="4"/>
  <c r="P16" i="4"/>
  <c r="G16" i="4"/>
  <c r="L16" i="4" s="1"/>
  <c r="M16" i="4" s="1"/>
  <c r="E16" i="4"/>
  <c r="AC15" i="4"/>
  <c r="P15" i="4"/>
  <c r="G15" i="4"/>
  <c r="L15" i="4" s="1"/>
  <c r="M15" i="4" s="1"/>
  <c r="E15" i="4"/>
  <c r="AC14" i="4"/>
  <c r="P14" i="4"/>
  <c r="G14" i="4"/>
  <c r="L14" i="4" s="1"/>
  <c r="M14" i="4" s="1"/>
  <c r="E14" i="4"/>
  <c r="AC13" i="4"/>
  <c r="P13" i="4"/>
  <c r="G13" i="4"/>
  <c r="L13" i="4" s="1"/>
  <c r="M13" i="4" s="1"/>
  <c r="E13" i="4"/>
  <c r="AC12" i="4"/>
  <c r="P12" i="4"/>
  <c r="G12" i="4"/>
  <c r="L12" i="4" s="1"/>
  <c r="M12" i="4" s="1"/>
  <c r="E12" i="4"/>
  <c r="AC11" i="4"/>
  <c r="P11" i="4"/>
  <c r="G11" i="4"/>
  <c r="L11" i="4" s="1"/>
  <c r="M11" i="4" s="1"/>
  <c r="E11" i="4"/>
  <c r="AC10" i="4"/>
  <c r="P10" i="4"/>
  <c r="G10" i="4"/>
  <c r="L10" i="4" s="1"/>
  <c r="M10" i="4" s="1"/>
  <c r="E10" i="4"/>
  <c r="AC9" i="4"/>
  <c r="P9" i="4"/>
  <c r="G9" i="4"/>
  <c r="L9" i="4" s="1"/>
  <c r="M9" i="4" s="1"/>
  <c r="E9" i="4"/>
  <c r="AC8" i="4"/>
  <c r="P8" i="4"/>
  <c r="G8" i="4"/>
  <c r="L8" i="4" s="1"/>
  <c r="M8" i="4" s="1"/>
  <c r="E8" i="4"/>
  <c r="AC7" i="4"/>
  <c r="P7" i="4"/>
  <c r="G7" i="4"/>
  <c r="L7" i="4" s="1"/>
  <c r="M7" i="4" s="1"/>
  <c r="E7" i="4"/>
  <c r="AC6" i="4"/>
  <c r="P6" i="4"/>
  <c r="G6" i="4"/>
  <c r="L6" i="4" s="1"/>
  <c r="M6" i="4" s="1"/>
  <c r="E6" i="4"/>
  <c r="AC5" i="4"/>
  <c r="P5" i="4"/>
  <c r="E5" i="4"/>
  <c r="AC4" i="4"/>
  <c r="P4" i="4"/>
  <c r="E4" i="4"/>
  <c r="AC3" i="4"/>
  <c r="P3" i="4"/>
  <c r="E3" i="4"/>
  <c r="AC2" i="4"/>
  <c r="P2" i="4"/>
  <c r="E2" i="4"/>
  <c r="S300" i="3"/>
  <c r="S299" i="3"/>
  <c r="S298" i="3"/>
  <c r="S297" i="3"/>
  <c r="S296" i="3"/>
  <c r="S295" i="3"/>
  <c r="S294" i="3"/>
  <c r="S293" i="3"/>
  <c r="S292" i="3"/>
  <c r="S291" i="3"/>
  <c r="S290" i="3"/>
  <c r="S289" i="3"/>
  <c r="S288" i="3"/>
  <c r="S287" i="3"/>
  <c r="S286" i="3"/>
  <c r="S285" i="3"/>
  <c r="S284" i="3"/>
  <c r="S283" i="3"/>
  <c r="S282" i="3"/>
  <c r="S281" i="3"/>
  <c r="S280" i="3"/>
  <c r="S279" i="3"/>
  <c r="S278" i="3"/>
  <c r="S277" i="3"/>
  <c r="S276" i="3"/>
  <c r="S275" i="3"/>
  <c r="S274" i="3"/>
  <c r="S273" i="3"/>
  <c r="S272" i="3"/>
  <c r="S271" i="3"/>
  <c r="S270" i="3"/>
  <c r="S269" i="3"/>
  <c r="S268" i="3"/>
  <c r="S267" i="3"/>
  <c r="S266" i="3"/>
  <c r="S265" i="3"/>
  <c r="S264" i="3"/>
  <c r="S263" i="3"/>
  <c r="S262" i="3"/>
  <c r="S261" i="3"/>
  <c r="S260" i="3"/>
  <c r="S259" i="3"/>
  <c r="S258" i="3"/>
  <c r="S257" i="3"/>
  <c r="S256" i="3"/>
  <c r="S255" i="3"/>
  <c r="S254" i="3"/>
  <c r="S253" i="3"/>
  <c r="S252" i="3"/>
  <c r="S251" i="3"/>
  <c r="S250" i="3"/>
  <c r="S249" i="3"/>
  <c r="S248" i="3"/>
  <c r="S247" i="3"/>
  <c r="S246" i="3"/>
  <c r="S245" i="3"/>
  <c r="S244" i="3"/>
  <c r="S243" i="3"/>
  <c r="S242" i="3"/>
  <c r="S241" i="3"/>
  <c r="S240" i="3"/>
  <c r="S239" i="3"/>
  <c r="S238" i="3"/>
  <c r="S237" i="3"/>
  <c r="S236" i="3"/>
  <c r="S235" i="3"/>
  <c r="S234" i="3"/>
  <c r="S233" i="3"/>
  <c r="S232" i="3"/>
  <c r="S231" i="3"/>
  <c r="S230" i="3"/>
  <c r="S229" i="3"/>
  <c r="S228" i="3"/>
  <c r="S227" i="3"/>
  <c r="S226" i="3"/>
  <c r="S225" i="3"/>
  <c r="S224" i="3"/>
  <c r="S223" i="3"/>
  <c r="S222" i="3"/>
  <c r="S221" i="3"/>
  <c r="S220" i="3"/>
  <c r="S219" i="3"/>
  <c r="S218" i="3"/>
  <c r="S217" i="3"/>
  <c r="S216" i="3"/>
  <c r="S215" i="3"/>
  <c r="S214" i="3"/>
  <c r="S213" i="3"/>
  <c r="S212" i="3"/>
  <c r="S211" i="3"/>
  <c r="S210" i="3"/>
  <c r="S209" i="3"/>
  <c r="S208" i="3"/>
  <c r="S207" i="3"/>
  <c r="S206" i="3"/>
  <c r="S205" i="3"/>
  <c r="S204" i="3"/>
  <c r="S203" i="3"/>
  <c r="S202" i="3"/>
  <c r="S201" i="3"/>
  <c r="S200" i="3"/>
  <c r="S199" i="3"/>
  <c r="S198" i="3"/>
  <c r="S197" i="3"/>
  <c r="S196" i="3"/>
  <c r="S195" i="3"/>
  <c r="S194" i="3"/>
  <c r="S193" i="3"/>
  <c r="S192" i="3"/>
  <c r="S191" i="3"/>
  <c r="S190" i="3"/>
  <c r="S189" i="3"/>
  <c r="S188" i="3"/>
  <c r="S187" i="3"/>
  <c r="S186" i="3"/>
  <c r="S185" i="3"/>
  <c r="S184" i="3"/>
  <c r="S183" i="3"/>
  <c r="S182" i="3"/>
  <c r="S181" i="3"/>
  <c r="S180" i="3"/>
  <c r="S179" i="3"/>
  <c r="S178" i="3"/>
  <c r="S177" i="3"/>
  <c r="S176" i="3"/>
  <c r="S175" i="3"/>
  <c r="S174" i="3"/>
  <c r="S173" i="3"/>
  <c r="S172" i="3"/>
  <c r="S171" i="3"/>
  <c r="S170" i="3"/>
  <c r="S169" i="3"/>
  <c r="S168" i="3"/>
  <c r="S167" i="3"/>
  <c r="S166" i="3"/>
  <c r="S165" i="3"/>
  <c r="S164" i="3"/>
  <c r="S163" i="3"/>
  <c r="S162" i="3"/>
  <c r="S161" i="3"/>
  <c r="S160" i="3"/>
  <c r="S159" i="3"/>
  <c r="S158" i="3"/>
  <c r="S157" i="3"/>
  <c r="S156" i="3"/>
  <c r="S155" i="3"/>
  <c r="S154" i="3"/>
  <c r="S153" i="3"/>
  <c r="S152" i="3"/>
  <c r="S151" i="3"/>
  <c r="S150" i="3"/>
  <c r="S149" i="3"/>
  <c r="S148" i="3"/>
  <c r="S147" i="3"/>
  <c r="S146" i="3"/>
  <c r="S145" i="3"/>
  <c r="S144" i="3"/>
  <c r="S143" i="3"/>
  <c r="S142" i="3"/>
  <c r="S141" i="3"/>
  <c r="S140" i="3"/>
  <c r="S139" i="3"/>
  <c r="S138" i="3"/>
  <c r="S137" i="3"/>
  <c r="S136" i="3"/>
  <c r="S135" i="3"/>
  <c r="S134" i="3"/>
  <c r="S133" i="3"/>
  <c r="S132" i="3"/>
  <c r="S131" i="3"/>
  <c r="S130" i="3"/>
  <c r="S129" i="3"/>
  <c r="S128" i="3"/>
  <c r="S127" i="3"/>
  <c r="S126" i="3"/>
  <c r="S125" i="3"/>
  <c r="S124" i="3"/>
  <c r="S123" i="3"/>
  <c r="S122" i="3"/>
  <c r="S121" i="3"/>
  <c r="S120" i="3"/>
  <c r="S119" i="3"/>
  <c r="S118" i="3"/>
  <c r="S117" i="3"/>
  <c r="S116" i="3"/>
  <c r="S115" i="3"/>
  <c r="S114" i="3"/>
  <c r="S113" i="3"/>
  <c r="S112" i="3"/>
  <c r="S111" i="3"/>
  <c r="S110" i="3"/>
  <c r="S109" i="3"/>
  <c r="S108" i="3"/>
  <c r="S107" i="3"/>
  <c r="S106" i="3"/>
  <c r="S105" i="3"/>
  <c r="S104" i="3"/>
  <c r="S103" i="3"/>
  <c r="S102" i="3"/>
  <c r="S101" i="3"/>
  <c r="M102" i="3"/>
  <c r="S100" i="3"/>
  <c r="M101" i="3"/>
  <c r="S99" i="3"/>
  <c r="M100" i="3"/>
  <c r="S98" i="3"/>
  <c r="M99" i="3"/>
  <c r="S97" i="3"/>
  <c r="M98" i="3"/>
  <c r="S96" i="3"/>
  <c r="M97" i="3"/>
  <c r="S95" i="3"/>
  <c r="M96" i="3"/>
  <c r="S94" i="3"/>
  <c r="M95" i="3"/>
  <c r="S93" i="3"/>
  <c r="M94" i="3"/>
  <c r="S92" i="3"/>
  <c r="M93" i="3"/>
  <c r="S91" i="3"/>
  <c r="M92" i="3"/>
  <c r="S90" i="3"/>
  <c r="M91" i="3"/>
  <c r="S89" i="3"/>
  <c r="M90" i="3"/>
  <c r="S88" i="3"/>
  <c r="M89" i="3"/>
  <c r="S87" i="3"/>
  <c r="M88" i="3"/>
  <c r="S86" i="3"/>
  <c r="M87" i="3"/>
  <c r="S85" i="3"/>
  <c r="M86" i="3"/>
  <c r="S84" i="3"/>
  <c r="M85" i="3"/>
  <c r="S83" i="3"/>
  <c r="M84" i="3"/>
  <c r="S82" i="3"/>
  <c r="M83" i="3"/>
  <c r="S81" i="3"/>
  <c r="M82" i="3"/>
  <c r="S80" i="3"/>
  <c r="M81" i="3"/>
  <c r="S79" i="3"/>
  <c r="M80" i="3"/>
  <c r="S78" i="3"/>
  <c r="M79" i="3"/>
  <c r="S77" i="3"/>
  <c r="M78" i="3"/>
  <c r="S76" i="3"/>
  <c r="M77" i="3"/>
  <c r="S75" i="3"/>
  <c r="M76" i="3"/>
  <c r="S74" i="3"/>
  <c r="M75" i="3"/>
  <c r="S73" i="3"/>
  <c r="M74" i="3"/>
  <c r="S72" i="3"/>
  <c r="M73" i="3"/>
  <c r="S71" i="3"/>
  <c r="M72" i="3"/>
  <c r="S70" i="3"/>
  <c r="M71" i="3"/>
  <c r="S69" i="3"/>
  <c r="M70" i="3"/>
  <c r="S68" i="3"/>
  <c r="M69" i="3"/>
  <c r="S67" i="3"/>
  <c r="M68" i="3"/>
  <c r="S66" i="3"/>
  <c r="M67" i="3"/>
  <c r="S65" i="3"/>
  <c r="M66" i="3"/>
  <c r="S64" i="3"/>
  <c r="M65" i="3"/>
  <c r="S63" i="3"/>
  <c r="M64" i="3"/>
  <c r="S62" i="3"/>
  <c r="M63" i="3"/>
  <c r="S61" i="3"/>
  <c r="M62" i="3"/>
  <c r="S60" i="3"/>
  <c r="M61" i="3"/>
  <c r="S59" i="3"/>
  <c r="M60" i="3"/>
  <c r="S58" i="3"/>
  <c r="M59" i="3"/>
  <c r="S57" i="3"/>
  <c r="M58" i="3"/>
  <c r="S56" i="3"/>
  <c r="M57" i="3"/>
  <c r="S55" i="3"/>
  <c r="M56" i="3"/>
  <c r="S54" i="3"/>
  <c r="M55" i="3"/>
  <c r="S53" i="3"/>
  <c r="M54" i="3"/>
  <c r="S52" i="3"/>
  <c r="M53" i="3"/>
  <c r="S51" i="3"/>
  <c r="M52" i="3"/>
  <c r="S50" i="3"/>
  <c r="M51" i="3"/>
  <c r="S49" i="3"/>
  <c r="M50" i="3"/>
  <c r="S48" i="3"/>
  <c r="M49" i="3"/>
  <c r="S47" i="3"/>
  <c r="M48" i="3"/>
  <c r="S46" i="3"/>
  <c r="M47" i="3"/>
  <c r="S45" i="3"/>
  <c r="M46" i="3"/>
  <c r="S44" i="3"/>
  <c r="M45" i="3"/>
  <c r="S43" i="3"/>
  <c r="M44" i="3"/>
  <c r="S42" i="3"/>
  <c r="M43" i="3"/>
  <c r="S41" i="3"/>
  <c r="M42" i="3"/>
  <c r="S40" i="3"/>
  <c r="M41" i="3"/>
  <c r="S39" i="3"/>
  <c r="M40" i="3"/>
  <c r="S38" i="3"/>
  <c r="M39" i="3"/>
  <c r="S37" i="3"/>
  <c r="M38" i="3"/>
  <c r="S36" i="3"/>
  <c r="M37" i="3"/>
  <c r="S35" i="3"/>
  <c r="M36" i="3"/>
  <c r="S34" i="3"/>
  <c r="M35" i="3"/>
  <c r="S33" i="3"/>
  <c r="M34" i="3"/>
  <c r="S32" i="3"/>
  <c r="M33" i="3"/>
  <c r="S31" i="3"/>
  <c r="M32" i="3"/>
  <c r="S30" i="3"/>
  <c r="M31" i="3"/>
  <c r="S29" i="3"/>
  <c r="M30" i="3"/>
  <c r="S28" i="3"/>
  <c r="M29" i="3"/>
  <c r="S27" i="3"/>
  <c r="M28" i="3"/>
  <c r="S26" i="3"/>
  <c r="M27" i="3"/>
  <c r="S25" i="3"/>
  <c r="M26" i="3"/>
  <c r="S24" i="3"/>
  <c r="M25" i="3"/>
  <c r="S23" i="3"/>
  <c r="M24" i="3"/>
  <c r="S22" i="3"/>
  <c r="M23" i="3"/>
  <c r="S21" i="3"/>
  <c r="M22" i="3"/>
  <c r="S20" i="3"/>
  <c r="M21" i="3"/>
  <c r="S19" i="3"/>
  <c r="M20" i="3"/>
  <c r="S18" i="3"/>
  <c r="M19" i="3"/>
  <c r="S17" i="3"/>
  <c r="M18" i="3"/>
  <c r="S16" i="3"/>
  <c r="M17" i="3"/>
  <c r="S15" i="3"/>
  <c r="M16" i="3"/>
  <c r="S14" i="3"/>
  <c r="M15" i="3"/>
  <c r="S13" i="3"/>
  <c r="M14" i="3"/>
  <c r="S12" i="3"/>
  <c r="M13" i="3"/>
  <c r="S11" i="3"/>
  <c r="M12" i="3"/>
  <c r="M10" i="3"/>
  <c r="S9" i="3"/>
  <c r="M9" i="3"/>
  <c r="G5" i="4" s="1"/>
  <c r="S8" i="3"/>
  <c r="M8" i="3"/>
  <c r="S7" i="3"/>
  <c r="M7" i="3"/>
  <c r="S6" i="3"/>
  <c r="M6" i="3"/>
  <c r="S5" i="3"/>
  <c r="M5" i="3"/>
  <c r="S4" i="3"/>
  <c r="M4" i="3"/>
  <c r="G4" i="4" s="1"/>
  <c r="S3" i="3"/>
  <c r="M3" i="3"/>
  <c r="S2" i="3"/>
  <c r="M2" i="3"/>
  <c r="J3" i="2"/>
  <c r="F30" i="1"/>
  <c r="F29" i="1"/>
  <c r="F28" i="1"/>
  <c r="F27" i="1"/>
  <c r="F26" i="1"/>
  <c r="F25" i="1"/>
  <c r="F24" i="1"/>
  <c r="F23" i="1"/>
  <c r="F22" i="1"/>
  <c r="F21" i="1"/>
  <c r="F20" i="1"/>
  <c r="D13" i="1"/>
  <c r="B7" i="1"/>
  <c r="D51" i="1" s="1"/>
  <c r="B2" i="1"/>
  <c r="I44" i="4" l="1"/>
  <c r="J44" i="4" s="1"/>
  <c r="I19" i="4"/>
  <c r="J19" i="4" s="1"/>
  <c r="L34" i="4"/>
  <c r="M34" i="4" s="1"/>
  <c r="I36" i="4"/>
  <c r="J36" i="4" s="1"/>
  <c r="I11" i="4"/>
  <c r="J11" i="4" s="1"/>
  <c r="AB11" i="4" s="1"/>
  <c r="AD11" i="4" s="1"/>
  <c r="I27" i="4"/>
  <c r="J27" i="4" s="1"/>
  <c r="L42" i="4"/>
  <c r="M42" i="4" s="1"/>
  <c r="I7" i="4"/>
  <c r="J7" i="4" s="1"/>
  <c r="I15" i="4"/>
  <c r="J15" i="4" s="1"/>
  <c r="AB15" i="4" s="1"/>
  <c r="AD15" i="4" s="1"/>
  <c r="I23" i="4"/>
  <c r="J23" i="4" s="1"/>
  <c r="AB23" i="4" s="1"/>
  <c r="AD23" i="4" s="1"/>
  <c r="L30" i="4"/>
  <c r="M30" i="4" s="1"/>
  <c r="AB30" i="4" s="1"/>
  <c r="AD30" i="4" s="1"/>
  <c r="L38" i="4"/>
  <c r="M38" i="4" s="1"/>
  <c r="L46" i="4"/>
  <c r="M46" i="4" s="1"/>
  <c r="I32" i="4"/>
  <c r="J32" i="4" s="1"/>
  <c r="AB32" i="4" s="1"/>
  <c r="AD32" i="4" s="1"/>
  <c r="I40" i="4"/>
  <c r="J40" i="4" s="1"/>
  <c r="AB40" i="4" s="1"/>
  <c r="AD40" i="4" s="1"/>
  <c r="I48" i="4"/>
  <c r="J48" i="4" s="1"/>
  <c r="AB48" i="4" s="1"/>
  <c r="AD48" i="4" s="1"/>
  <c r="I9" i="4"/>
  <c r="J9" i="4" s="1"/>
  <c r="I13" i="4"/>
  <c r="J13" i="4" s="1"/>
  <c r="AB13" i="4" s="1"/>
  <c r="AD13" i="4" s="1"/>
  <c r="I17" i="4"/>
  <c r="J17" i="4" s="1"/>
  <c r="I21" i="4"/>
  <c r="J21" i="4" s="1"/>
  <c r="AB21" i="4" s="1"/>
  <c r="AD21" i="4" s="1"/>
  <c r="I25" i="4"/>
  <c r="J25" i="4" s="1"/>
  <c r="AB25" i="4" s="1"/>
  <c r="AD25" i="4" s="1"/>
  <c r="I29" i="4"/>
  <c r="J29" i="4" s="1"/>
  <c r="AB29" i="4" s="1"/>
  <c r="AD29" i="4" s="1"/>
  <c r="I99" i="4"/>
  <c r="J99" i="4" s="1"/>
  <c r="AB99" i="4" s="1"/>
  <c r="AD99" i="4" s="1"/>
  <c r="I31" i="4"/>
  <c r="J31" i="4" s="1"/>
  <c r="AB31" i="4" s="1"/>
  <c r="AD31" i="4" s="1"/>
  <c r="I33" i="4"/>
  <c r="J33" i="4" s="1"/>
  <c r="AB34" i="4"/>
  <c r="AD34" i="4" s="1"/>
  <c r="I35" i="4"/>
  <c r="J35" i="4" s="1"/>
  <c r="AB35" i="4" s="1"/>
  <c r="AD35" i="4" s="1"/>
  <c r="AB36" i="4"/>
  <c r="AD36" i="4" s="1"/>
  <c r="I37" i="4"/>
  <c r="J37" i="4" s="1"/>
  <c r="AB37" i="4" s="1"/>
  <c r="AD37" i="4" s="1"/>
  <c r="AB38" i="4"/>
  <c r="AD38" i="4" s="1"/>
  <c r="I39" i="4"/>
  <c r="J39" i="4" s="1"/>
  <c r="AB39" i="4" s="1"/>
  <c r="AD39" i="4" s="1"/>
  <c r="I41" i="4"/>
  <c r="J41" i="4" s="1"/>
  <c r="AB42" i="4"/>
  <c r="AD42" i="4" s="1"/>
  <c r="I43" i="4"/>
  <c r="J43" i="4" s="1"/>
  <c r="AB43" i="4" s="1"/>
  <c r="AD43" i="4" s="1"/>
  <c r="AB44" i="4"/>
  <c r="AD44" i="4" s="1"/>
  <c r="I45" i="4"/>
  <c r="J45" i="4" s="1"/>
  <c r="AB46" i="4"/>
  <c r="AD46" i="4" s="1"/>
  <c r="I47" i="4"/>
  <c r="J47" i="4" s="1"/>
  <c r="AB47" i="4" s="1"/>
  <c r="AD47" i="4" s="1"/>
  <c r="I49" i="4"/>
  <c r="J49" i="4" s="1"/>
  <c r="AB50" i="4"/>
  <c r="AD50" i="4" s="1"/>
  <c r="I51" i="4"/>
  <c r="J51" i="4" s="1"/>
  <c r="AB51" i="4" s="1"/>
  <c r="AD51" i="4" s="1"/>
  <c r="U98" i="3"/>
  <c r="I6" i="4"/>
  <c r="J6" i="4" s="1"/>
  <c r="AB6" i="4" s="1"/>
  <c r="AD6" i="4" s="1"/>
  <c r="I8" i="4"/>
  <c r="J8" i="4" s="1"/>
  <c r="AB8" i="4" s="1"/>
  <c r="AD8" i="4" s="1"/>
  <c r="I10" i="4"/>
  <c r="J10" i="4" s="1"/>
  <c r="AB10" i="4" s="1"/>
  <c r="AD10" i="4" s="1"/>
  <c r="I12" i="4"/>
  <c r="J12" i="4" s="1"/>
  <c r="AB12" i="4" s="1"/>
  <c r="AD12" i="4" s="1"/>
  <c r="I14" i="4"/>
  <c r="J14" i="4" s="1"/>
  <c r="AB14" i="4" s="1"/>
  <c r="AD14" i="4" s="1"/>
  <c r="I16" i="4"/>
  <c r="J16" i="4" s="1"/>
  <c r="AB16" i="4" s="1"/>
  <c r="AD16" i="4" s="1"/>
  <c r="I18" i="4"/>
  <c r="J18" i="4" s="1"/>
  <c r="AB18" i="4" s="1"/>
  <c r="AD18" i="4" s="1"/>
  <c r="I20" i="4"/>
  <c r="J20" i="4" s="1"/>
  <c r="AB20" i="4" s="1"/>
  <c r="AD20" i="4" s="1"/>
  <c r="I22" i="4"/>
  <c r="J22" i="4" s="1"/>
  <c r="I24" i="4"/>
  <c r="J24" i="4" s="1"/>
  <c r="AB24" i="4" s="1"/>
  <c r="AD24" i="4" s="1"/>
  <c r="I26" i="4"/>
  <c r="J26" i="4" s="1"/>
  <c r="AB26" i="4" s="1"/>
  <c r="AD26" i="4" s="1"/>
  <c r="I28" i="4"/>
  <c r="J28" i="4" s="1"/>
  <c r="AB28" i="4" s="1"/>
  <c r="AD28" i="4" s="1"/>
  <c r="AB22" i="4"/>
  <c r="AD22" i="4" s="1"/>
  <c r="E17" i="1"/>
  <c r="D52" i="1"/>
  <c r="G2" i="4"/>
  <c r="G3" i="4"/>
  <c r="U4" i="3"/>
  <c r="D3" i="1"/>
  <c r="D7" i="1"/>
  <c r="D10" i="1"/>
  <c r="F13" i="1"/>
  <c r="D49" i="1"/>
  <c r="B56" i="1"/>
  <c r="U3" i="3"/>
  <c r="U7" i="3"/>
  <c r="U31" i="3"/>
  <c r="U35" i="3"/>
  <c r="U39" i="3"/>
  <c r="U43" i="3"/>
  <c r="B4" i="1"/>
  <c r="E7" i="1"/>
  <c r="F10" i="1"/>
  <c r="F35" i="1"/>
  <c r="F38" i="1"/>
  <c r="B38" i="1" s="1"/>
  <c r="D50" i="1"/>
  <c r="U2" i="3"/>
  <c r="L4" i="4"/>
  <c r="M4" i="4" s="1"/>
  <c r="I4" i="4"/>
  <c r="J4" i="4" s="1"/>
  <c r="U6" i="3"/>
  <c r="U10" i="3"/>
  <c r="U14" i="3"/>
  <c r="U18" i="3"/>
  <c r="U22" i="3"/>
  <c r="U26" i="3"/>
  <c r="U30" i="3"/>
  <c r="U34" i="3"/>
  <c r="U38" i="3"/>
  <c r="U42" i="3"/>
  <c r="U46" i="3"/>
  <c r="U49" i="3"/>
  <c r="U59" i="3"/>
  <c r="U62" i="3"/>
  <c r="U70" i="3"/>
  <c r="U82" i="3"/>
  <c r="U299" i="3"/>
  <c r="U297" i="3"/>
  <c r="U295" i="3"/>
  <c r="U293" i="3"/>
  <c r="U291" i="3"/>
  <c r="U289" i="3"/>
  <c r="U287" i="3"/>
  <c r="U285" i="3"/>
  <c r="U283" i="3"/>
  <c r="U281" i="3"/>
  <c r="U279" i="3"/>
  <c r="U277" i="3"/>
  <c r="U275" i="3"/>
  <c r="U273" i="3"/>
  <c r="U271" i="3"/>
  <c r="U269" i="3"/>
  <c r="U267" i="3"/>
  <c r="U265" i="3"/>
  <c r="U263" i="3"/>
  <c r="U261" i="3"/>
  <c r="U259" i="3"/>
  <c r="U257" i="3"/>
  <c r="U255" i="3"/>
  <c r="U253" i="3"/>
  <c r="U251" i="3"/>
  <c r="U249" i="3"/>
  <c r="U247" i="3"/>
  <c r="U245" i="3"/>
  <c r="U243" i="3"/>
  <c r="U241" i="3"/>
  <c r="U239" i="3"/>
  <c r="U237" i="3"/>
  <c r="U235" i="3"/>
  <c r="U233" i="3"/>
  <c r="U231" i="3"/>
  <c r="U229" i="3"/>
  <c r="U227" i="3"/>
  <c r="U225" i="3"/>
  <c r="U223" i="3"/>
  <c r="U221" i="3"/>
  <c r="U219" i="3"/>
  <c r="U217" i="3"/>
  <c r="U215" i="3"/>
  <c r="U213" i="3"/>
  <c r="U211" i="3"/>
  <c r="U209" i="3"/>
  <c r="U207" i="3"/>
  <c r="U205" i="3"/>
  <c r="U203" i="3"/>
  <c r="U201" i="3"/>
  <c r="U199" i="3"/>
  <c r="U197" i="3"/>
  <c r="U195" i="3"/>
  <c r="U193" i="3"/>
  <c r="U191" i="3"/>
  <c r="U189" i="3"/>
  <c r="U187" i="3"/>
  <c r="U185" i="3"/>
  <c r="U183" i="3"/>
  <c r="U181" i="3"/>
  <c r="U179" i="3"/>
  <c r="U177" i="3"/>
  <c r="U175" i="3"/>
  <c r="U173" i="3"/>
  <c r="U171" i="3"/>
  <c r="U169" i="3"/>
  <c r="U167" i="3"/>
  <c r="U165" i="3"/>
  <c r="U163" i="3"/>
  <c r="U161" i="3"/>
  <c r="U159" i="3"/>
  <c r="U157" i="3"/>
  <c r="U155" i="3"/>
  <c r="U153" i="3"/>
  <c r="U151" i="3"/>
  <c r="U149" i="3"/>
  <c r="U147" i="3"/>
  <c r="U145" i="3"/>
  <c r="U143" i="3"/>
  <c r="U141" i="3"/>
  <c r="U139" i="3"/>
  <c r="U137" i="3"/>
  <c r="U135" i="3"/>
  <c r="U133" i="3"/>
  <c r="U131" i="3"/>
  <c r="U129" i="3"/>
  <c r="U127" i="3"/>
  <c r="U125" i="3"/>
  <c r="U123" i="3"/>
  <c r="U121" i="3"/>
  <c r="U119" i="3"/>
  <c r="U117" i="3"/>
  <c r="U115" i="3"/>
  <c r="U113" i="3"/>
  <c r="U111" i="3"/>
  <c r="U109" i="3"/>
  <c r="U107" i="3"/>
  <c r="U105" i="3"/>
  <c r="U103" i="3"/>
  <c r="U101" i="3"/>
  <c r="U97" i="3"/>
  <c r="U93" i="3"/>
  <c r="U89" i="3"/>
  <c r="U85" i="3"/>
  <c r="U81" i="3"/>
  <c r="U77" i="3"/>
  <c r="U300" i="3"/>
  <c r="U298" i="3"/>
  <c r="U296" i="3"/>
  <c r="U294" i="3"/>
  <c r="U292" i="3"/>
  <c r="U290" i="3"/>
  <c r="U288" i="3"/>
  <c r="U286" i="3"/>
  <c r="U284" i="3"/>
  <c r="U282" i="3"/>
  <c r="U280" i="3"/>
  <c r="U278" i="3"/>
  <c r="U276" i="3"/>
  <c r="U274" i="3"/>
  <c r="U272" i="3"/>
  <c r="U270" i="3"/>
  <c r="U268" i="3"/>
  <c r="U266" i="3"/>
  <c r="U264" i="3"/>
  <c r="U262" i="3"/>
  <c r="U260" i="3"/>
  <c r="U258" i="3"/>
  <c r="U256" i="3"/>
  <c r="U254" i="3"/>
  <c r="U252" i="3"/>
  <c r="U250" i="3"/>
  <c r="U248" i="3"/>
  <c r="U246" i="3"/>
  <c r="U244" i="3"/>
  <c r="U242" i="3"/>
  <c r="U240" i="3"/>
  <c r="U238" i="3"/>
  <c r="U236" i="3"/>
  <c r="U234" i="3"/>
  <c r="U232" i="3"/>
  <c r="U230" i="3"/>
  <c r="U228" i="3"/>
  <c r="U226" i="3"/>
  <c r="U224" i="3"/>
  <c r="U222" i="3"/>
  <c r="U220" i="3"/>
  <c r="U218" i="3"/>
  <c r="U216" i="3"/>
  <c r="U214" i="3"/>
  <c r="U212" i="3"/>
  <c r="U210" i="3"/>
  <c r="U208" i="3"/>
  <c r="U206" i="3"/>
  <c r="U204" i="3"/>
  <c r="U202" i="3"/>
  <c r="U200" i="3"/>
  <c r="U198" i="3"/>
  <c r="U196" i="3"/>
  <c r="U194" i="3"/>
  <c r="U192" i="3"/>
  <c r="U190" i="3"/>
  <c r="U188" i="3"/>
  <c r="U186" i="3"/>
  <c r="U184" i="3"/>
  <c r="U182" i="3"/>
  <c r="U180" i="3"/>
  <c r="U178" i="3"/>
  <c r="U176" i="3"/>
  <c r="U174" i="3"/>
  <c r="U172" i="3"/>
  <c r="U170" i="3"/>
  <c r="U168" i="3"/>
  <c r="U166" i="3"/>
  <c r="U164" i="3"/>
  <c r="U162" i="3"/>
  <c r="U160" i="3"/>
  <c r="U158" i="3"/>
  <c r="U156" i="3"/>
  <c r="U154" i="3"/>
  <c r="U152" i="3"/>
  <c r="U150" i="3"/>
  <c r="U148" i="3"/>
  <c r="U146" i="3"/>
  <c r="U144" i="3"/>
  <c r="U142" i="3"/>
  <c r="U140" i="3"/>
  <c r="U138" i="3"/>
  <c r="U136" i="3"/>
  <c r="U134" i="3"/>
  <c r="U132" i="3"/>
  <c r="U130" i="3"/>
  <c r="U128" i="3"/>
  <c r="U126" i="3"/>
  <c r="U124" i="3"/>
  <c r="U122" i="3"/>
  <c r="U120" i="3"/>
  <c r="U118" i="3"/>
  <c r="U116" i="3"/>
  <c r="U114" i="3"/>
  <c r="U112" i="3"/>
  <c r="U110" i="3"/>
  <c r="U108" i="3"/>
  <c r="U106" i="3"/>
  <c r="U104" i="3"/>
  <c r="U102" i="3"/>
  <c r="U99" i="3"/>
  <c r="U95" i="3"/>
  <c r="U91" i="3"/>
  <c r="U87" i="3"/>
  <c r="U83" i="3"/>
  <c r="U79" i="3"/>
  <c r="U75" i="3"/>
  <c r="U71" i="3"/>
  <c r="U67" i="3"/>
  <c r="U63" i="3"/>
  <c r="U100" i="3"/>
  <c r="U96" i="3"/>
  <c r="U92" i="3"/>
  <c r="U88" i="3"/>
  <c r="U84" i="3"/>
  <c r="U80" i="3"/>
  <c r="U76" i="3"/>
  <c r="U72" i="3"/>
  <c r="U68" i="3"/>
  <c r="U64" i="3"/>
  <c r="U60" i="3"/>
  <c r="U56" i="3"/>
  <c r="U52" i="3"/>
  <c r="U48" i="3"/>
  <c r="B10" i="1"/>
  <c r="E16" i="1"/>
  <c r="D16" i="1" s="1"/>
  <c r="F16" i="1" s="1"/>
  <c r="E19" i="1"/>
  <c r="D19" i="1" s="1"/>
  <c r="F19" i="1" s="1"/>
  <c r="B19" i="1" s="1"/>
  <c r="I5" i="4"/>
  <c r="J5" i="4" s="1"/>
  <c r="L5" i="4"/>
  <c r="M5" i="4" s="1"/>
  <c r="U11" i="3"/>
  <c r="U15" i="3"/>
  <c r="U19" i="3"/>
  <c r="U23" i="3"/>
  <c r="U27" i="3"/>
  <c r="F1" i="1"/>
  <c r="D4" i="1"/>
  <c r="F7" i="1"/>
  <c r="B13" i="1"/>
  <c r="D17" i="1"/>
  <c r="F17" i="1" s="1"/>
  <c r="B17" i="1" s="1"/>
  <c r="D18" i="1"/>
  <c r="U5" i="3"/>
  <c r="U9" i="3"/>
  <c r="U13" i="3"/>
  <c r="U17" i="3"/>
  <c r="U21" i="3"/>
  <c r="U25" i="3"/>
  <c r="U29" i="3"/>
  <c r="U33" i="3"/>
  <c r="U37" i="3"/>
  <c r="U41" i="3"/>
  <c r="U45" i="3"/>
  <c r="U55" i="3"/>
  <c r="U58" i="3"/>
  <c r="U61" i="3"/>
  <c r="U69" i="3"/>
  <c r="U86" i="3"/>
  <c r="U8" i="3"/>
  <c r="U12" i="3"/>
  <c r="U16" i="3"/>
  <c r="U20" i="3"/>
  <c r="U24" i="3"/>
  <c r="U28" i="3"/>
  <c r="U32" i="3"/>
  <c r="U36" i="3"/>
  <c r="U40" i="3"/>
  <c r="U44" i="3"/>
  <c r="U51" i="3"/>
  <c r="U54" i="3"/>
  <c r="U57" i="3"/>
  <c r="U66" i="3"/>
  <c r="U74" i="3"/>
  <c r="U90" i="3"/>
  <c r="AB7" i="4"/>
  <c r="AD7" i="4" s="1"/>
  <c r="AB9" i="4"/>
  <c r="AD9" i="4" s="1"/>
  <c r="AB17" i="4"/>
  <c r="AD17" i="4" s="1"/>
  <c r="AB19" i="4"/>
  <c r="AD19" i="4" s="1"/>
  <c r="AB27" i="4"/>
  <c r="AD27" i="4" s="1"/>
  <c r="U47" i="3"/>
  <c r="U50" i="3"/>
  <c r="U53" i="3"/>
  <c r="U65" i="3"/>
  <c r="U73" i="3"/>
  <c r="U78" i="3"/>
  <c r="U94" i="3"/>
  <c r="AB33" i="4"/>
  <c r="AD33" i="4" s="1"/>
  <c r="AB41" i="4"/>
  <c r="AD41" i="4" s="1"/>
  <c r="AB45" i="4"/>
  <c r="AD45" i="4" s="1"/>
  <c r="AB49" i="4"/>
  <c r="AD49" i="4" s="1"/>
  <c r="I59" i="4"/>
  <c r="J59" i="4" s="1"/>
  <c r="L59" i="4"/>
  <c r="M59" i="4" s="1"/>
  <c r="I67" i="4"/>
  <c r="J67" i="4" s="1"/>
  <c r="L67" i="4"/>
  <c r="M67" i="4" s="1"/>
  <c r="I61" i="4"/>
  <c r="J61" i="4" s="1"/>
  <c r="L61" i="4"/>
  <c r="M61" i="4" s="1"/>
  <c r="I69" i="4"/>
  <c r="J69" i="4" s="1"/>
  <c r="L69" i="4"/>
  <c r="M69" i="4" s="1"/>
  <c r="I63" i="4"/>
  <c r="J63" i="4" s="1"/>
  <c r="L63" i="4"/>
  <c r="M63" i="4" s="1"/>
  <c r="I71" i="4"/>
  <c r="J71" i="4" s="1"/>
  <c r="L71" i="4"/>
  <c r="M71" i="4" s="1"/>
  <c r="I65" i="4"/>
  <c r="J65" i="4" s="1"/>
  <c r="L65" i="4"/>
  <c r="M65" i="4" s="1"/>
  <c r="I73" i="4"/>
  <c r="J73" i="4" s="1"/>
  <c r="L73" i="4"/>
  <c r="M73" i="4" s="1"/>
  <c r="I75" i="4"/>
  <c r="J75" i="4" s="1"/>
  <c r="L75" i="4"/>
  <c r="M75" i="4" s="1"/>
  <c r="I77" i="4"/>
  <c r="J77" i="4" s="1"/>
  <c r="L77" i="4"/>
  <c r="M77" i="4" s="1"/>
  <c r="I79" i="4"/>
  <c r="J79" i="4" s="1"/>
  <c r="L79" i="4"/>
  <c r="M79" i="4" s="1"/>
  <c r="I81" i="4"/>
  <c r="J81" i="4" s="1"/>
  <c r="L81" i="4"/>
  <c r="M81" i="4" s="1"/>
  <c r="I83" i="4"/>
  <c r="J83" i="4" s="1"/>
  <c r="L83" i="4"/>
  <c r="M83" i="4" s="1"/>
  <c r="I85" i="4"/>
  <c r="J85" i="4" s="1"/>
  <c r="L85" i="4"/>
  <c r="M85" i="4" s="1"/>
  <c r="I87" i="4"/>
  <c r="J87" i="4" s="1"/>
  <c r="L87" i="4"/>
  <c r="M87" i="4" s="1"/>
  <c r="I89" i="4"/>
  <c r="J89" i="4" s="1"/>
  <c r="L89" i="4"/>
  <c r="M89" i="4" s="1"/>
  <c r="I91" i="4"/>
  <c r="J91" i="4" s="1"/>
  <c r="L91" i="4"/>
  <c r="M91" i="4" s="1"/>
  <c r="I93" i="4"/>
  <c r="J93" i="4" s="1"/>
  <c r="L93" i="4"/>
  <c r="M93" i="4" s="1"/>
  <c r="I95" i="4"/>
  <c r="J95" i="4" s="1"/>
  <c r="L95" i="4"/>
  <c r="M95" i="4" s="1"/>
  <c r="I97" i="4"/>
  <c r="J97" i="4" s="1"/>
  <c r="L97" i="4"/>
  <c r="M97" i="4" s="1"/>
  <c r="I53" i="4"/>
  <c r="J53" i="4" s="1"/>
  <c r="L53" i="4"/>
  <c r="M53" i="4" s="1"/>
  <c r="L54" i="4"/>
  <c r="M54" i="4" s="1"/>
  <c r="I54" i="4"/>
  <c r="J54" i="4" s="1"/>
  <c r="I55" i="4"/>
  <c r="J55" i="4" s="1"/>
  <c r="L55" i="4"/>
  <c r="M55" i="4" s="1"/>
  <c r="L56" i="4"/>
  <c r="M56" i="4" s="1"/>
  <c r="I56" i="4"/>
  <c r="J56" i="4" s="1"/>
  <c r="I57" i="4"/>
  <c r="J57" i="4" s="1"/>
  <c r="L57" i="4"/>
  <c r="M57" i="4" s="1"/>
  <c r="L58" i="4"/>
  <c r="M58" i="4" s="1"/>
  <c r="I58" i="4"/>
  <c r="J58" i="4" s="1"/>
  <c r="L52" i="4"/>
  <c r="M52" i="4" s="1"/>
  <c r="AB52" i="4" s="1"/>
  <c r="AD52" i="4" s="1"/>
  <c r="I60" i="4"/>
  <c r="J60" i="4" s="1"/>
  <c r="AB60" i="4" s="1"/>
  <c r="AD60" i="4" s="1"/>
  <c r="I62" i="4"/>
  <c r="J62" i="4" s="1"/>
  <c r="AB62" i="4" s="1"/>
  <c r="AD62" i="4" s="1"/>
  <c r="I64" i="4"/>
  <c r="J64" i="4" s="1"/>
  <c r="AB64" i="4" s="1"/>
  <c r="AD64" i="4" s="1"/>
  <c r="I66" i="4"/>
  <c r="J66" i="4" s="1"/>
  <c r="AB66" i="4" s="1"/>
  <c r="AD66" i="4" s="1"/>
  <c r="I68" i="4"/>
  <c r="J68" i="4" s="1"/>
  <c r="AB68" i="4" s="1"/>
  <c r="AD68" i="4" s="1"/>
  <c r="I70" i="4"/>
  <c r="J70" i="4" s="1"/>
  <c r="AB70" i="4" s="1"/>
  <c r="AD70" i="4" s="1"/>
  <c r="I72" i="4"/>
  <c r="J72" i="4" s="1"/>
  <c r="AB72" i="4" s="1"/>
  <c r="AD72" i="4" s="1"/>
  <c r="I74" i="4"/>
  <c r="J74" i="4" s="1"/>
  <c r="AB74" i="4" s="1"/>
  <c r="AD74" i="4" s="1"/>
  <c r="I76" i="4"/>
  <c r="J76" i="4" s="1"/>
  <c r="AB76" i="4" s="1"/>
  <c r="AD76" i="4" s="1"/>
  <c r="I78" i="4"/>
  <c r="J78" i="4" s="1"/>
  <c r="AB78" i="4" s="1"/>
  <c r="AD78" i="4" s="1"/>
  <c r="I80" i="4"/>
  <c r="J80" i="4" s="1"/>
  <c r="AB80" i="4" s="1"/>
  <c r="AD80" i="4" s="1"/>
  <c r="I82" i="4"/>
  <c r="J82" i="4" s="1"/>
  <c r="AB82" i="4" s="1"/>
  <c r="AD82" i="4" s="1"/>
  <c r="I84" i="4"/>
  <c r="J84" i="4" s="1"/>
  <c r="AB84" i="4" s="1"/>
  <c r="AD84" i="4" s="1"/>
  <c r="I86" i="4"/>
  <c r="J86" i="4" s="1"/>
  <c r="AB86" i="4" s="1"/>
  <c r="AD86" i="4" s="1"/>
  <c r="I88" i="4"/>
  <c r="J88" i="4" s="1"/>
  <c r="AB88" i="4" s="1"/>
  <c r="AD88" i="4" s="1"/>
  <c r="I90" i="4"/>
  <c r="J90" i="4" s="1"/>
  <c r="AB90" i="4" s="1"/>
  <c r="AD90" i="4" s="1"/>
  <c r="I92" i="4"/>
  <c r="J92" i="4" s="1"/>
  <c r="AB92" i="4" s="1"/>
  <c r="AD92" i="4" s="1"/>
  <c r="I94" i="4"/>
  <c r="J94" i="4" s="1"/>
  <c r="AB94" i="4" s="1"/>
  <c r="AD94" i="4" s="1"/>
  <c r="I96" i="4"/>
  <c r="J96" i="4" s="1"/>
  <c r="AB96" i="4" s="1"/>
  <c r="AD96" i="4" s="1"/>
  <c r="I98" i="4"/>
  <c r="J98" i="4" s="1"/>
  <c r="AB98" i="4" s="1"/>
  <c r="AD98" i="4" s="1"/>
  <c r="I100" i="4"/>
  <c r="J100" i="4" s="1"/>
  <c r="AB100" i="4" s="1"/>
  <c r="AD100" i="4" s="1"/>
  <c r="AB71" i="4" l="1"/>
  <c r="AD71" i="4" s="1"/>
  <c r="AB61" i="4"/>
  <c r="AD61" i="4" s="1"/>
  <c r="AB59" i="4"/>
  <c r="AD59" i="4" s="1"/>
  <c r="AB4" i="4"/>
  <c r="AD4" i="4" s="1"/>
  <c r="AB57" i="4"/>
  <c r="AD57" i="4" s="1"/>
  <c r="AB53" i="4"/>
  <c r="AD53" i="4" s="1"/>
  <c r="AB69" i="4"/>
  <c r="AD69" i="4" s="1"/>
  <c r="AB67" i="4"/>
  <c r="AD67" i="4" s="1"/>
  <c r="AB63" i="4"/>
  <c r="AD63" i="4" s="1"/>
  <c r="AB5" i="4"/>
  <c r="AD5" i="4" s="1"/>
  <c r="AB55" i="4"/>
  <c r="AD55" i="4" s="1"/>
  <c r="E18" i="1"/>
  <c r="F18" i="1" s="1"/>
  <c r="L3" i="4"/>
  <c r="M3" i="4" s="1"/>
  <c r="I3" i="4"/>
  <c r="J3" i="4" s="1"/>
  <c r="AB97" i="4"/>
  <c r="AD97" i="4" s="1"/>
  <c r="AB93" i="4"/>
  <c r="AD93" i="4" s="1"/>
  <c r="AB89" i="4"/>
  <c r="AD89" i="4" s="1"/>
  <c r="AB85" i="4"/>
  <c r="AD85" i="4" s="1"/>
  <c r="AB81" i="4"/>
  <c r="AD81" i="4" s="1"/>
  <c r="AB77" i="4"/>
  <c r="AD77" i="4" s="1"/>
  <c r="AB73" i="4"/>
  <c r="AD73" i="4" s="1"/>
  <c r="I2" i="4"/>
  <c r="J2" i="4" s="1"/>
  <c r="L2" i="4"/>
  <c r="M2" i="4" s="1"/>
  <c r="B16" i="1"/>
  <c r="AB58" i="4"/>
  <c r="AD58" i="4" s="1"/>
  <c r="AB56" i="4"/>
  <c r="AD56" i="4" s="1"/>
  <c r="AB54" i="4"/>
  <c r="AD54" i="4" s="1"/>
  <c r="AB95" i="4"/>
  <c r="AD95" i="4" s="1"/>
  <c r="AB91" i="4"/>
  <c r="AD91" i="4" s="1"/>
  <c r="AB87" i="4"/>
  <c r="AD87" i="4" s="1"/>
  <c r="AB83" i="4"/>
  <c r="AD83" i="4" s="1"/>
  <c r="AB79" i="4"/>
  <c r="AD79" i="4" s="1"/>
  <c r="AB75" i="4"/>
  <c r="AD75" i="4" s="1"/>
  <c r="AB65" i="4"/>
  <c r="AD65" i="4" s="1"/>
  <c r="B35" i="1"/>
  <c r="AB3" i="4" l="1"/>
  <c r="AD3" i="4" s="1"/>
  <c r="AB2" i="4"/>
  <c r="AD2" i="4" s="1"/>
  <c r="B18" i="1"/>
  <c r="F32" i="1"/>
  <c r="J23" i="1" l="1"/>
  <c r="F36" i="1"/>
  <c r="B36" i="1" l="1"/>
  <c r="F45" i="1"/>
  <c r="J24" i="1" l="1"/>
  <c r="F47" i="1"/>
  <c r="J2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I1" authorId="0" shapeId="0" xr:uid="{00000000-0006-0000-0300-000001000000}">
      <text>
        <r>
          <rPr>
            <sz val="10"/>
            <rFont val="Arial"/>
            <family val="2"/>
          </rPr>
          <t>Auto-calculated: Hourly Rate x OT 1.5 multiplier (Settings!C5). Do not edit.</t>
        </r>
      </text>
    </comment>
    <comment ref="J1" authorId="0" shapeId="0" xr:uid="{00000000-0006-0000-0300-000002000000}">
      <text>
        <r>
          <rPr>
            <sz val="10"/>
            <rFont val="Arial"/>
            <family val="2"/>
          </rPr>
          <t>Auto-calculated: OT 1.5x Hours x OT 1.5x Rate. Do not edit.</t>
        </r>
      </text>
    </comment>
    <comment ref="L1" authorId="0" shapeId="0" xr:uid="{00000000-0006-0000-0300-000003000000}">
      <text>
        <r>
          <rPr>
            <sz val="10"/>
            <rFont val="Arial"/>
            <family val="2"/>
          </rPr>
          <t>Auto-calculated: Hourly Rate x OT 2.0 multiplier (Settings!C6). Do not edit.</t>
        </r>
      </text>
    </comment>
    <comment ref="M1" authorId="0" shapeId="0" xr:uid="{00000000-0006-0000-0300-000004000000}">
      <text>
        <r>
          <rPr>
            <sz val="10"/>
            <rFont val="Arial"/>
            <family val="2"/>
          </rPr>
          <t>Auto-calculated: OT 2.0x Hours x OT 2.0x Rate. Do not edit.</t>
        </r>
      </text>
    </comment>
    <comment ref="P1" authorId="0" shapeId="0" xr:uid="{00000000-0006-0000-0300-000005000000}">
      <text>
        <r>
          <rPr>
            <sz val="10"/>
            <rFont val="Arial"/>
            <family val="2"/>
          </rPr>
          <t>Auto-calculated: Commission Base x Commission Rate. Do not edit.</t>
        </r>
      </text>
    </comment>
    <comment ref="AB1" authorId="0" shapeId="0" xr:uid="{00000000-0006-0000-0300-000006000000}">
      <text>
        <r>
          <rPr>
            <sz val="10"/>
            <rFont val="Arial"/>
            <family val="2"/>
          </rPr>
          <t>Auto-calculated: sum of all earnings. Do not edit.</t>
        </r>
      </text>
    </comment>
    <comment ref="AC1" authorId="0" shapeId="0" xr:uid="{00000000-0006-0000-0300-000007000000}">
      <text>
        <r>
          <rPr>
            <sz val="10"/>
            <rFont val="Arial"/>
            <family val="2"/>
          </rPr>
          <t>Auto-calculated: sum of all deductions. Do not edit.</t>
        </r>
      </text>
    </comment>
    <comment ref="AD1" authorId="0" shapeId="0" xr:uid="{00000000-0006-0000-0300-000008000000}">
      <text>
        <r>
          <rPr>
            <sz val="10"/>
            <rFont val="Arial"/>
            <family val="2"/>
          </rPr>
          <t>Auto-calculated: Gross Earnings minus Total Deductions. Do not edit.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<sst xmlns="http://schemas.openxmlformats.org/spreadsheetml/2006/main" count="333" uniqueCount="237">
  <si>
    <t>PAYSLIP</t>
  </si>
  <si>
    <t>⚙️ PAYSLIP CONTROLS</t>
  </si>
  <si>
    <t>(Outside A4 Printout — For Controls &amp; Selection)</t>
  </si>
  <si>
    <t>Select Company:</t>
  </si>
  <si>
    <t>Alora Dental Care</t>
  </si>
  <si>
    <t>EMPLOYEE</t>
  </si>
  <si>
    <t xml:space="preserve">ID NUMBER </t>
  </si>
  <si>
    <t xml:space="preserve">TAX REFERENCE NUMBER  </t>
  </si>
  <si>
    <t>EMPLOYEE NUMBER</t>
  </si>
  <si>
    <t>Select Employee:</t>
  </si>
  <si>
    <t>Tintswalo Makhubela</t>
  </si>
  <si>
    <t>ADDRESS</t>
  </si>
  <si>
    <t>PHONE</t>
  </si>
  <si>
    <t>EMAIL</t>
  </si>
  <si>
    <t>Select Pay Date:</t>
  </si>
  <si>
    <t>September 2026</t>
  </si>
  <si>
    <t xml:space="preserve">Occupation </t>
  </si>
  <si>
    <t>PAY DATA</t>
  </si>
  <si>
    <t>FREQUENCY</t>
  </si>
  <si>
    <t>🔄  AUTO-FIT / REFRESH PAYSLIP
(Hides 0-value &amp; empty rows)</t>
  </si>
  <si>
    <t>EARNINGS</t>
  </si>
  <si>
    <t>HOURS/AMOUNT</t>
  </si>
  <si>
    <t>RATE</t>
  </si>
  <si>
    <t>TOTAL</t>
  </si>
  <si>
    <t>📄  EXPORT TO PDF (A4)
(Generates print-ready PDF)</t>
  </si>
  <si>
    <t>🖨️  PRINT PAYSLIP (A4)
(Prints single-page A4 area)</t>
  </si>
  <si>
    <t>📊 PAYSLIP SUMMARY</t>
  </si>
  <si>
    <t>Gross Earnings:</t>
  </si>
  <si>
    <t>Total Deductions:</t>
  </si>
  <si>
    <t>Net Pay Amount:</t>
  </si>
  <si>
    <t>Total Payments</t>
  </si>
  <si>
    <t>DEDUCTIONS</t>
  </si>
  <si>
    <t>Net Adjustments</t>
  </si>
  <si>
    <t>Total Deductions</t>
  </si>
  <si>
    <t>NET PAY</t>
  </si>
  <si>
    <t>Bank Name</t>
  </si>
  <si>
    <t>Bank Account</t>
  </si>
  <si>
    <t>Account Type</t>
  </si>
  <si>
    <t>Payment Mode</t>
  </si>
  <si>
    <t>Company ID</t>
  </si>
  <si>
    <t>Company Name</t>
  </si>
  <si>
    <t>Trading Name / Legal Subtitle</t>
  </si>
  <si>
    <t>Address Line 1</t>
  </si>
  <si>
    <t>Address Line 2</t>
  </si>
  <si>
    <t>Website</t>
  </si>
  <si>
    <t>Phone Number</t>
  </si>
  <si>
    <t>Email Address</t>
  </si>
  <si>
    <t>Query Office / Footer Text</t>
  </si>
  <si>
    <t>Logo File</t>
  </si>
  <si>
    <t>Monthly Required Hours (NT Rule)</t>
  </si>
  <si>
    <t>COMP-001</t>
  </si>
  <si>
    <t>Suite A4, Financial Square, Entrance 5 Ext 16</t>
  </si>
  <si>
    <t>eMalahleni, 10359</t>
  </si>
  <si>
    <t>www.aloradentalcare.co.za</t>
  </si>
  <si>
    <t>(013)656-1067</t>
  </si>
  <si>
    <t>admin@aloradentalcare.co.za</t>
  </si>
  <si>
    <t>Employee questions may be directed to business administration office : 49 Duncan Street, Witbank, 1039
 010 824 9087 Or Managing Partner 0817657816</t>
  </si>
  <si>
    <t>COMP-002</t>
  </si>
  <si>
    <t>Formalize</t>
  </si>
  <si>
    <t>S AND S KEMISTRY trading as Formalize. Reg: 2019 / 264478 / 07</t>
  </si>
  <si>
    <t>49 Duncan Street</t>
  </si>
  <si>
    <t>Emalahleni, 1034</t>
  </si>
  <si>
    <t>www.formalize.co.za</t>
  </si>
  <si>
    <t>+27 10 824 9087</t>
  </si>
  <si>
    <t>admin@formalize.co.za</t>
  </si>
  <si>
    <t>Company</t>
  </si>
  <si>
    <t>Employee Number</t>
  </si>
  <si>
    <t>Full Name</t>
  </si>
  <si>
    <t>ID Number</t>
  </si>
  <si>
    <t>Tax Reference Number</t>
  </si>
  <si>
    <t>Occupation / Designation</t>
  </si>
  <si>
    <t>Department</t>
  </si>
  <si>
    <t>Address</t>
  </si>
  <si>
    <t>Payment Frequency</t>
  </si>
  <si>
    <t>Standard Basic Salary</t>
  </si>
  <si>
    <t>Standard Hourly Rate</t>
  </si>
  <si>
    <t>Bank Account Number</t>
  </si>
  <si>
    <t>Status</t>
  </si>
  <si>
    <t>Rank in Company (helper)</t>
  </si>
  <si>
    <t>Filtered Employees for Selected Company (helper)</t>
  </si>
  <si>
    <t>EMP-0001</t>
  </si>
  <si>
    <t>Lindokuhle Edith Masilela</t>
  </si>
  <si>
    <t>960405 0329 08 5</t>
  </si>
  <si>
    <t>Accounts Administrator</t>
  </si>
  <si>
    <t>Accounts Management</t>
  </si>
  <si>
    <t>49 Duncan Street, Witbank, 1039</t>
  </si>
  <si>
    <t>lindokuhle@formalize.co.za</t>
  </si>
  <si>
    <t>Monthly</t>
  </si>
  <si>
    <t>Standard Bank South Africa</t>
  </si>
  <si>
    <t>10149977458</t>
  </si>
  <si>
    <t>Cheque / Current</t>
  </si>
  <si>
    <t>EFT</t>
  </si>
  <si>
    <t>Active</t>
  </si>
  <si>
    <t>EMP-0002</t>
  </si>
  <si>
    <t>Sizwe Hlatshwayo</t>
  </si>
  <si>
    <t>880112 5567 082</t>
  </si>
  <si>
    <t>Operations Manager</t>
  </si>
  <si>
    <t>Operations</t>
  </si>
  <si>
    <t>+27 81 765 7816</t>
  </si>
  <si>
    <t>sizwe@formalize.co.za</t>
  </si>
  <si>
    <t>First National Bank</t>
  </si>
  <si>
    <t>62849102938</t>
  </si>
  <si>
    <t>EMP-0003</t>
  </si>
  <si>
    <t>Wonder Hlatshwayo</t>
  </si>
  <si>
    <t>920718 5123 089</t>
  </si>
  <si>
    <t>Billing Administrator</t>
  </si>
  <si>
    <t>Billing</t>
  </si>
  <si>
    <t>+27 72 345 6789</t>
  </si>
  <si>
    <t>wonder@formalize.co.za</t>
  </si>
  <si>
    <t>Nedbank</t>
  </si>
  <si>
    <t>1189456201</t>
  </si>
  <si>
    <t>Savings</t>
  </si>
  <si>
    <t>EMP-0004</t>
  </si>
  <si>
    <t>940322 0456 083</t>
  </si>
  <si>
    <t>+27 76 123 4567</t>
  </si>
  <si>
    <t>tintswalo@formalize.co.za</t>
  </si>
  <si>
    <t>10293847561</t>
  </si>
  <si>
    <t>EMP-0005</t>
  </si>
  <si>
    <t>Doctor Khoza</t>
  </si>
  <si>
    <t>900514 5678 084</t>
  </si>
  <si>
    <t>HR | IT Specialist</t>
  </si>
  <si>
    <t>HR/IT</t>
  </si>
  <si>
    <t>+27 82 987 6543</t>
  </si>
  <si>
    <t>doctor@formalize.co.za</t>
  </si>
  <si>
    <t>62938471928</t>
  </si>
  <si>
    <t>EMP-0006</t>
  </si>
  <si>
    <t>Whitney Nkosi</t>
  </si>
  <si>
    <t>970815 0123 087</t>
  </si>
  <si>
    <t>Administrative Assistant</t>
  </si>
  <si>
    <t>+27 71 234 5678</t>
  </si>
  <si>
    <t>whitney@formalize.co.za</t>
  </si>
  <si>
    <t>Capitec Bank</t>
  </si>
  <si>
    <t>1498765432</t>
  </si>
  <si>
    <t>EMP-0007</t>
  </si>
  <si>
    <t>Precious Maphanga</t>
  </si>
  <si>
    <t>950920 0789 081</t>
  </si>
  <si>
    <t>Accounts Officer</t>
  </si>
  <si>
    <t>+27 73 456 7890</t>
  </si>
  <si>
    <t>precious@formalize.co.za</t>
  </si>
  <si>
    <t>10384756291</t>
  </si>
  <si>
    <t>EMP-0008</t>
  </si>
  <si>
    <t>Vasti Kmber Kruger</t>
  </si>
  <si>
    <t>010619 0063 08 6</t>
  </si>
  <si>
    <t>Front Desk Administrator</t>
  </si>
  <si>
    <t>Admin</t>
  </si>
  <si>
    <t>50 SADC Street, Central Middelburg</t>
  </si>
  <si>
    <t>063 509 1965</t>
  </si>
  <si>
    <t>vastikruger@gmail.com</t>
  </si>
  <si>
    <t>EMP-0009</t>
  </si>
  <si>
    <t>Matilda Dimakatso Segoane</t>
  </si>
  <si>
    <t>851122 0770 08 3</t>
  </si>
  <si>
    <t>CSSD Admin &amp; Assistant</t>
  </si>
  <si>
    <t>3792 Setlake Street, Ackerville, Kwaguqa ,Emalahleni, 1039</t>
  </si>
  <si>
    <t>Pay Period</t>
  </si>
  <si>
    <t>Pay Date</t>
  </si>
  <si>
    <t>Employee Name</t>
  </si>
  <si>
    <t>Basic Salary</t>
  </si>
  <si>
    <t>Normal Hours</t>
  </si>
  <si>
    <t>Hourly Rate</t>
  </si>
  <si>
    <t>OT 1.5x Hours</t>
  </si>
  <si>
    <t>OT 1.5x Rate</t>
  </si>
  <si>
    <t>OT 1.5x Total</t>
  </si>
  <si>
    <t>OT 2.0x Hours</t>
  </si>
  <si>
    <t>OT 2.0x Rate</t>
  </si>
  <si>
    <t>OT 2.0x Total</t>
  </si>
  <si>
    <t>Commission Base</t>
  </si>
  <si>
    <t>Commission Rate</t>
  </si>
  <si>
    <t>Commission Total</t>
  </si>
  <si>
    <t>Annual Bonus</t>
  </si>
  <si>
    <t>Performance Bonus</t>
  </si>
  <si>
    <t>Travel Allowance</t>
  </si>
  <si>
    <t>Other Allowance</t>
  </si>
  <si>
    <t>PAYE (Tax)</t>
  </si>
  <si>
    <t>UIF Amount</t>
  </si>
  <si>
    <t>Medical Aid</t>
  </si>
  <si>
    <t>Pension Fund</t>
  </si>
  <si>
    <t>Staff Loan</t>
  </si>
  <si>
    <t>Unpaid Absence</t>
  </si>
  <si>
    <t>Other Deductions</t>
  </si>
  <si>
    <t>Gross Earnings</t>
  </si>
  <si>
    <t>Net Pay</t>
  </si>
  <si>
    <t>KEY</t>
  </si>
  <si>
    <t>December 2025</t>
  </si>
  <si>
    <t>23/12/2025</t>
  </si>
  <si>
    <t>NOMATHEMBA BIANCA MAHLANGU</t>
  </si>
  <si>
    <t>Yellow = enter payroll data here</t>
  </si>
  <si>
    <t>May 2026</t>
  </si>
  <si>
    <t>25/05/2026</t>
  </si>
  <si>
    <t>Grey/italic = auto-calculated — do not type over</t>
  </si>
  <si>
    <t>25/09/2026</t>
  </si>
  <si>
    <t>Category</t>
  </si>
  <si>
    <t>Parameter Name</t>
  </si>
  <si>
    <t>Value</t>
  </si>
  <si>
    <t>Description / Notes</t>
  </si>
  <si>
    <t>Pay Frequencies</t>
  </si>
  <si>
    <t>Account Types</t>
  </si>
  <si>
    <t>Earnings Catalog</t>
  </si>
  <si>
    <t>Payment Modes</t>
  </si>
  <si>
    <t>Employee Status</t>
  </si>
  <si>
    <t>Statutory</t>
  </si>
  <si>
    <t>UIF Employee Rate</t>
  </si>
  <si>
    <t>1.0% statutory employee contribution</t>
  </si>
  <si>
    <t>UIF Statutory Monthly Cap</t>
  </si>
  <si>
    <t>Maximum statutory deduction (R 177.12 / month)</t>
  </si>
  <si>
    <t>Weekly</t>
  </si>
  <si>
    <t>Commission</t>
  </si>
  <si>
    <t>Cash</t>
  </si>
  <si>
    <t>Inactive</t>
  </si>
  <si>
    <t>Hours</t>
  </si>
  <si>
    <t>Standard Monthly Hours</t>
  </si>
  <si>
    <t>Default monthly hours baseline</t>
  </si>
  <si>
    <t>Fortnightly</t>
  </si>
  <si>
    <t>Transmission</t>
  </si>
  <si>
    <t>Overtime @ 1.5</t>
  </si>
  <si>
    <t>Cheque</t>
  </si>
  <si>
    <t>Suspended</t>
  </si>
  <si>
    <t>Overtime</t>
  </si>
  <si>
    <t>Overtime Multiplier Normal</t>
  </si>
  <si>
    <t>1.5x regular hourly rate for standard OT</t>
  </si>
  <si>
    <t>Overtime @ 2.0</t>
  </si>
  <si>
    <t>Terminated</t>
  </si>
  <si>
    <t>Overtime Multiplier Sunday</t>
  </si>
  <si>
    <t>2.0x regular hourly rate for Sundays / Holidays</t>
  </si>
  <si>
    <t>System</t>
  </si>
  <si>
    <t>PDF Export Folder</t>
  </si>
  <si>
    <t>Payslips\</t>
  </si>
  <si>
    <t>Default folder for exported PDF files</t>
  </si>
  <si>
    <t>Housing Allowance</t>
  </si>
  <si>
    <t>Cellphone Allowance</t>
  </si>
  <si>
    <t>Backpay / Adjustment</t>
  </si>
  <si>
    <t>EMP-0010</t>
  </si>
  <si>
    <t>Kgomotso Bianca Mohlala</t>
  </si>
  <si>
    <t>020714 0072 08 4</t>
  </si>
  <si>
    <t>Temp Administrator</t>
  </si>
  <si>
    <t>10 Welma Street, Witbank, Witbank, 1035</t>
  </si>
  <si>
    <t>060 771 6495</t>
  </si>
  <si>
    <t>bhekiwemohlala659@gmail.com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</si>
</sst>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"/>
    <numFmt numFmtId="165" formatCode="_-* #,##0.00_-;\-* #,##0.00_-;_-* \-??_-;_-@_-"/>
    <numFmt numFmtId="166" formatCode="&quot;R &quot;#,##0.00"/>
    <numFmt numFmtId="167" formatCode="0.0%"/>
  </numFmts>
  <fonts count="29" x14ac:knownFonts="1">
    <font>
      <sz val="11"/>
      <color theme="1"/>
      <name val="Calibri"/>
      <family val="2"/>
      <charset val="1"/>
    </font>
    <font>
      <sz val="36"/>
      <color rgb="FF0070C0"/>
      <name val="Calibri"/>
      <family val="2"/>
      <charset val="1"/>
    </font>
    <font>
      <sz val="16"/>
      <color theme="1"/>
      <name val="Calibri"/>
      <family val="2"/>
      <charset val="1"/>
    </font>
    <font>
      <b/>
      <sz val="13"/>
      <color rgb="FFFFFFFF"/>
      <name val="Calibri"/>
      <charset val="1"/>
    </font>
    <font>
      <sz val="10"/>
      <color theme="1" tint="0.34977263710440382"/>
      <name val="Calibri"/>
      <family val="2"/>
      <charset val="1"/>
    </font>
    <font>
      <i/>
      <sz val="9"/>
      <color rgb="FF595959"/>
      <name val="Calibri"/>
      <charset val="1"/>
    </font>
    <font>
      <u/>
      <sz val="11"/>
      <color theme="10"/>
      <name val="Calibri"/>
      <family val="2"/>
      <charset val="1"/>
    </font>
    <font>
      <b/>
      <sz val="10"/>
      <color rgb="FF1F4E79"/>
      <name val="Calibri"/>
      <charset val="1"/>
    </font>
    <font>
      <b/>
      <sz val="11"/>
      <color rgb="FF000000"/>
      <name val="Calibri"/>
      <charset val="1"/>
    </font>
    <font>
      <sz val="8"/>
      <color theme="0" tint="-0.499984740745262"/>
      <name val="Calibri"/>
      <family val="2"/>
      <charset val="1"/>
    </font>
    <font>
      <b/>
      <sz val="10"/>
      <color rgb="FF000000"/>
      <name val="Calibri"/>
      <charset val="1"/>
    </font>
    <font>
      <b/>
      <sz val="10"/>
      <color rgb="FFFFFFFF"/>
      <name val="Calibri"/>
      <charset val="1"/>
    </font>
    <font>
      <sz val="11"/>
      <color rgb="FF0070C0"/>
      <name val="Calibri"/>
      <family val="2"/>
      <charset val="1"/>
    </font>
    <font>
      <sz val="11"/>
      <color theme="1" tint="0.34977263710440382"/>
      <name val="Calibri"/>
      <family val="2"/>
      <charset val="1"/>
    </font>
    <font>
      <b/>
      <sz val="9"/>
      <name val="Calibri"/>
      <charset val="1"/>
    </font>
    <font>
      <b/>
      <sz val="11"/>
      <color rgb="FF1F4E79"/>
      <name val="Calibri"/>
      <charset val="1"/>
    </font>
    <font>
      <b/>
      <sz val="11"/>
      <color theme="1" tint="0.34977263710440382"/>
      <name val="Calibri"/>
      <family val="2"/>
      <charset val="1"/>
    </font>
    <font>
      <sz val="10"/>
      <color rgb="FFE32D2D"/>
      <name val="Calibri"/>
      <family val="2"/>
      <charset val="1"/>
    </font>
    <font>
      <i/>
      <sz val="11"/>
      <color theme="1" tint="0.34977263710440382"/>
      <name val="Calibri"/>
      <family val="2"/>
      <charset val="1"/>
    </font>
    <font>
      <b/>
      <sz val="16"/>
      <color theme="1"/>
      <name val="Calibri"/>
      <family val="2"/>
      <charset val="1"/>
    </font>
    <font>
      <i/>
      <sz val="11"/>
      <color theme="1"/>
      <name val="Calibri"/>
      <family val="2"/>
      <charset val="1"/>
    </font>
    <font>
      <sz val="11"/>
      <color theme="0" tint="-0.34998626667073579"/>
      <name val="Calibri"/>
      <family val="2"/>
      <charset val="1"/>
    </font>
    <font>
      <i/>
      <sz val="11"/>
      <color theme="0" tint="-0.34998626667073579"/>
      <name val="Calibri"/>
      <family val="2"/>
      <charset val="1"/>
    </font>
    <font>
      <b/>
      <sz val="11"/>
      <color rgb="FFFFFFFF"/>
      <name val="Calibri"/>
      <charset val="1"/>
    </font>
    <font>
      <b/>
      <sz val="11"/>
      <name val="Cambria"/>
      <charset val="1"/>
    </font>
    <font>
      <i/>
      <sz val="11"/>
      <color rgb="FF666666"/>
      <name val="Cambria"/>
      <charset val="1"/>
    </font>
    <font>
      <sz val="10"/>
      <name val="Cambria"/>
      <charset val="1"/>
    </font>
    <font>
      <sz val="10"/>
      <name val="Arial"/>
      <family val="2"/>
    </font>
    <font>
      <sz val="8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4F8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theme="0" tint="-4.9989318521683403E-2"/>
        <bgColor rgb="FFF2F4F8"/>
      </patternFill>
    </fill>
    <fill>
      <patternFill patternType="solid">
        <fgColor rgb="FF0E8388"/>
        <bgColor rgb="FF0070C0"/>
      </patternFill>
    </fill>
  </fills>
  <borders count="26">
    <border>
      <left/>
      <right/>
      <top/>
      <bottom/>
      <diagonal/>
    </border>
    <border>
      <left style="thin">
        <color theme="1" tint="0.49977111117893003"/>
      </left>
      <right/>
      <top style="thin">
        <color theme="1" tint="0.49977111117893003"/>
      </top>
      <bottom/>
      <diagonal/>
    </border>
    <border>
      <left/>
      <right/>
      <top style="thin">
        <color theme="1" tint="0.49977111117893003"/>
      </top>
      <bottom/>
      <diagonal/>
    </border>
    <border>
      <left/>
      <right style="thin">
        <color theme="1" tint="0.49977111117893003"/>
      </right>
      <top style="thin">
        <color theme="1" tint="0.49977111117893003"/>
      </top>
      <bottom/>
      <diagonal/>
    </border>
    <border>
      <left style="thin">
        <color theme="1" tint="0.49977111117893003"/>
      </left>
      <right/>
      <top/>
      <bottom/>
      <diagonal/>
    </border>
    <border>
      <left/>
      <right style="thin">
        <color theme="1" tint="0.49977111117893003"/>
      </right>
      <top/>
      <bottom/>
      <diagonal/>
    </border>
    <border>
      <left/>
      <right/>
      <top/>
      <bottom style="double">
        <color theme="1" tint="0.49977111117893003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theme="1" tint="0.49977111117893003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theme="1" tint="0.49977111117893003"/>
      </left>
      <right style="medium">
        <color auto="1"/>
      </right>
      <top/>
      <bottom style="medium">
        <color auto="1"/>
      </bottom>
      <diagonal/>
    </border>
    <border>
      <left style="thin">
        <color theme="1" tint="0.49977111117893003"/>
      </left>
      <right style="thin">
        <color theme="1" tint="0.49977111117893003"/>
      </right>
      <top style="thin">
        <color theme="1" tint="0.49977111117893003"/>
      </top>
      <bottom/>
      <diagonal/>
    </border>
    <border>
      <left style="thin">
        <color theme="1" tint="0.49977111117893003"/>
      </left>
      <right style="thin">
        <color theme="1" tint="0.49977111117893003"/>
      </right>
      <top/>
      <bottom style="thin">
        <color theme="1" tint="0.49977111117893003"/>
      </bottom>
      <diagonal/>
    </border>
    <border>
      <left style="thin">
        <color theme="1" tint="0.49977111117893003"/>
      </left>
      <right/>
      <top style="thin">
        <color theme="1" tint="0.49977111117893003"/>
      </top>
      <bottom style="double">
        <color auto="1"/>
      </bottom>
      <diagonal/>
    </border>
    <border>
      <left/>
      <right/>
      <top style="thin">
        <color theme="1" tint="0.49977111117893003"/>
      </top>
      <bottom style="double">
        <color auto="1"/>
      </bottom>
      <diagonal/>
    </border>
    <border>
      <left/>
      <right style="thin">
        <color theme="1" tint="0.49977111117893003"/>
      </right>
      <top style="thin">
        <color theme="1" tint="0.49977111117893003"/>
      </top>
      <bottom style="double">
        <color auto="1"/>
      </bottom>
      <diagonal/>
    </border>
    <border>
      <left style="thin">
        <color theme="1" tint="0.49977111117893003"/>
      </left>
      <right/>
      <top/>
      <bottom style="thin">
        <color theme="1" tint="0.49977111117893003"/>
      </bottom>
      <diagonal/>
    </border>
    <border>
      <left/>
      <right/>
      <top/>
      <bottom style="thin">
        <color theme="1" tint="0.49977111117893003"/>
      </bottom>
      <diagonal/>
    </border>
    <border>
      <left/>
      <right style="thin">
        <color theme="1" tint="0.49977111117893003"/>
      </right>
      <top/>
      <bottom style="thin">
        <color theme="1" tint="0.4997711111789300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10">
    <xf numFmtId="0" fontId="0" fillId="0" borderId="0" xfId="0"/>
    <xf numFmtId="0" fontId="22" fillId="0" borderId="22" xfId="0" applyFont="1" applyBorder="1" applyAlignment="1">
      <alignment horizontal="center" wrapText="1"/>
    </xf>
    <xf numFmtId="166" fontId="15" fillId="0" borderId="0" xfId="0" applyNumberFormat="1" applyFont="1" applyBorder="1" applyAlignment="1">
      <alignment horizontal="right" vertical="center"/>
    </xf>
    <xf numFmtId="166" fontId="14" fillId="0" borderId="0" xfId="0" applyNumberFormat="1" applyFont="1" applyBorder="1" applyAlignment="1">
      <alignment horizontal="right" vertical="center"/>
    </xf>
    <xf numFmtId="0" fontId="7" fillId="3" borderId="0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left" vertical="center"/>
    </xf>
    <xf numFmtId="0" fontId="8" fillId="4" borderId="7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1" xfId="0" applyBorder="1" applyAlignment="1"/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4" xfId="0" applyBorder="1" applyAlignment="1"/>
    <xf numFmtId="0" fontId="2" fillId="0" borderId="0" xfId="0" applyFont="1" applyAlignment="1">
      <alignment horizontal="left" indent="1"/>
    </xf>
    <xf numFmtId="0" fontId="0" fillId="0" borderId="5" xfId="0" applyBorder="1" applyAlignment="1"/>
    <xf numFmtId="0" fontId="4" fillId="0" borderId="4" xfId="0" applyFont="1" applyBorder="1" applyAlignment="1"/>
    <xf numFmtId="0" fontId="4" fillId="0" borderId="0" xfId="0" applyFont="1" applyAlignment="1">
      <alignment horizontal="left" indent="2"/>
    </xf>
    <xf numFmtId="0" fontId="4" fillId="0" borderId="0" xfId="0" applyFont="1" applyAlignment="1">
      <alignment horizontal="left" indent="1"/>
    </xf>
    <xf numFmtId="0" fontId="4" fillId="0" borderId="0" xfId="0" applyFont="1" applyAlignment="1">
      <alignment wrapText="1"/>
    </xf>
    <xf numFmtId="0" fontId="4" fillId="0" borderId="0" xfId="0" applyFont="1" applyAlignment="1"/>
    <xf numFmtId="0" fontId="4" fillId="0" borderId="5" xfId="0" applyFont="1" applyBorder="1" applyAlignment="1"/>
    <xf numFmtId="0" fontId="6" fillId="0" borderId="6" xfId="0" applyFont="1" applyBorder="1" applyAlignment="1">
      <alignment horizontal="left" indent="2"/>
    </xf>
    <xf numFmtId="0" fontId="4" fillId="0" borderId="6" xfId="0" applyFont="1" applyBorder="1" applyAlignment="1">
      <alignment horizontal="left" indent="2"/>
    </xf>
    <xf numFmtId="0" fontId="4" fillId="0" borderId="6" xfId="0" applyFont="1" applyBorder="1" applyAlignment="1"/>
    <xf numFmtId="0" fontId="7" fillId="0" borderId="0" xfId="0" applyFont="1" applyAlignment="1">
      <alignment horizontal="left" vertical="center"/>
    </xf>
    <xf numFmtId="0" fontId="9" fillId="0" borderId="8" xfId="0" applyFont="1" applyBorder="1" applyAlignment="1">
      <alignment horizontal="left" indent="1"/>
    </xf>
    <xf numFmtId="0" fontId="9" fillId="0" borderId="9" xfId="0" applyFont="1" applyBorder="1" applyAlignment="1">
      <alignment horizontal="left" indent="1"/>
    </xf>
    <xf numFmtId="0" fontId="9" fillId="0" borderId="10" xfId="0" applyFont="1" applyBorder="1" applyAlignment="1">
      <alignment horizontal="left" indent="1"/>
    </xf>
    <xf numFmtId="0" fontId="9" fillId="0" borderId="11" xfId="0" applyFont="1" applyBorder="1" applyAlignment="1">
      <alignment horizontal="left" indent="1"/>
    </xf>
    <xf numFmtId="0" fontId="0" fillId="0" borderId="4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3" fontId="0" fillId="0" borderId="14" xfId="0" applyNumberFormat="1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vertical="center"/>
    </xf>
    <xf numFmtId="0" fontId="9" fillId="0" borderId="16" xfId="0" applyFont="1" applyBorder="1" applyAlignment="1">
      <alignment horizontal="left" indent="1"/>
    </xf>
    <xf numFmtId="0" fontId="9" fillId="0" borderId="0" xfId="0" applyFont="1" applyAlignment="1">
      <alignment horizontal="left" indent="1"/>
    </xf>
    <xf numFmtId="0" fontId="0" fillId="0" borderId="17" xfId="0" applyBorder="1" applyAlignment="1">
      <alignment horizontal="left" vertical="center" indent="1"/>
    </xf>
    <xf numFmtId="0" fontId="0" fillId="0" borderId="0" xfId="0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2" fillId="5" borderId="18" xfId="0" applyFont="1" applyFill="1" applyBorder="1" applyAlignment="1"/>
    <xf numFmtId="0" fontId="12" fillId="5" borderId="19" xfId="0" applyFont="1" applyFill="1" applyBorder="1" applyAlignment="1"/>
    <xf numFmtId="0" fontId="12" fillId="5" borderId="19" xfId="0" applyFont="1" applyFill="1" applyBorder="1" applyAlignment="1">
      <alignment horizontal="center"/>
    </xf>
    <xf numFmtId="0" fontId="12" fillId="5" borderId="20" xfId="0" applyFont="1" applyFill="1" applyBorder="1" applyAlignment="1">
      <alignment horizontal="center"/>
    </xf>
    <xf numFmtId="0" fontId="13" fillId="0" borderId="4" xfId="0" applyFont="1" applyBorder="1" applyAlignment="1"/>
    <xf numFmtId="0" fontId="13" fillId="0" borderId="0" xfId="0" applyFont="1" applyAlignment="1"/>
    <xf numFmtId="0" fontId="13" fillId="0" borderId="0" xfId="0" applyFont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0" fontId="13" fillId="5" borderId="4" xfId="0" applyFont="1" applyFill="1" applyBorder="1" applyAlignment="1"/>
    <xf numFmtId="0" fontId="13" fillId="5" borderId="0" xfId="0" applyFont="1" applyFill="1" applyAlignment="1"/>
    <xf numFmtId="0" fontId="13" fillId="5" borderId="0" xfId="0" applyFont="1" applyFill="1" applyAlignment="1">
      <alignment horizontal="center"/>
    </xf>
    <xf numFmtId="165" fontId="13" fillId="5" borderId="5" xfId="0" applyNumberFormat="1" applyFont="1" applyFill="1" applyBorder="1" applyAlignment="1">
      <alignment horizontal="center"/>
    </xf>
    <xf numFmtId="2" fontId="13" fillId="0" borderId="0" xfId="0" applyNumberFormat="1" applyFont="1" applyAlignment="1">
      <alignment horizontal="center"/>
    </xf>
    <xf numFmtId="2" fontId="13" fillId="5" borderId="0" xfId="0" applyNumberFormat="1" applyFont="1" applyFill="1" applyAlignment="1">
      <alignment horizontal="center"/>
    </xf>
    <xf numFmtId="0" fontId="14" fillId="0" borderId="0" xfId="0" applyFont="1" applyAlignment="1"/>
    <xf numFmtId="0" fontId="7" fillId="0" borderId="0" xfId="0" applyFont="1" applyAlignment="1"/>
    <xf numFmtId="0" fontId="0" fillId="0" borderId="21" xfId="0" applyBorder="1" applyAlignment="1"/>
    <xf numFmtId="0" fontId="0" fillId="0" borderId="22" xfId="0" applyBorder="1" applyAlignment="1"/>
    <xf numFmtId="0" fontId="16" fillId="0" borderId="22" xfId="0" applyFont="1" applyBorder="1" applyAlignment="1">
      <alignment horizontal="right"/>
    </xf>
    <xf numFmtId="165" fontId="16" fillId="0" borderId="23" xfId="0" applyNumberFormat="1" applyFont="1" applyBorder="1" applyAlignment="1">
      <alignment horizontal="center"/>
    </xf>
    <xf numFmtId="0" fontId="17" fillId="5" borderId="18" xfId="0" applyFont="1" applyFill="1" applyBorder="1" applyAlignment="1"/>
    <xf numFmtId="0" fontId="17" fillId="5" borderId="19" xfId="0" applyFont="1" applyFill="1" applyBorder="1" applyAlignment="1"/>
    <xf numFmtId="0" fontId="17" fillId="5" borderId="19" xfId="0" applyFont="1" applyFill="1" applyBorder="1" applyAlignment="1">
      <alignment horizontal="center"/>
    </xf>
    <xf numFmtId="0" fontId="17" fillId="5" borderId="20" xfId="0" applyFont="1" applyFill="1" applyBorder="1" applyAlignment="1">
      <alignment horizontal="center"/>
    </xf>
    <xf numFmtId="0" fontId="13" fillId="5" borderId="0" xfId="0" applyFont="1" applyFill="1" applyAlignment="1">
      <alignment horizontal="right"/>
    </xf>
    <xf numFmtId="0" fontId="18" fillId="0" borderId="0" xfId="0" applyFont="1" applyAlignment="1"/>
    <xf numFmtId="0" fontId="2" fillId="5" borderId="0" xfId="0" applyFont="1" applyFill="1" applyAlignment="1"/>
    <xf numFmtId="0" fontId="19" fillId="5" borderId="0" xfId="0" applyFont="1" applyFill="1" applyAlignment="1">
      <alignment horizontal="right"/>
    </xf>
    <xf numFmtId="165" fontId="19" fillId="5" borderId="0" xfId="0" applyNumberFormat="1" applyFont="1" applyFill="1" applyAlignment="1"/>
    <xf numFmtId="0" fontId="20" fillId="0" borderId="0" xfId="0" applyFont="1" applyAlignment="1"/>
    <xf numFmtId="0" fontId="21" fillId="0" borderId="0" xfId="0" applyFont="1" applyAlignment="1"/>
    <xf numFmtId="0" fontId="0" fillId="0" borderId="23" xfId="0" applyBorder="1" applyAlignment="1"/>
    <xf numFmtId="0" fontId="23" fillId="2" borderId="0" xfId="0" applyFont="1" applyFill="1" applyAlignment="1">
      <alignment horizontal="center" vertical="center"/>
    </xf>
    <xf numFmtId="0" fontId="24" fillId="0" borderId="0" xfId="0" applyFont="1" applyAlignment="1"/>
    <xf numFmtId="0" fontId="0" fillId="0" borderId="24" xfId="0" applyFont="1" applyBorder="1" applyAlignment="1">
      <alignment horizontal="center" vertical="center"/>
    </xf>
    <xf numFmtId="0" fontId="0" fillId="0" borderId="24" xfId="0" applyFont="1" applyBorder="1" applyAlignment="1"/>
    <xf numFmtId="0" fontId="0" fillId="0" borderId="24" xfId="0" applyFont="1" applyBorder="1" applyAlignment="1">
      <alignment wrapText="1"/>
    </xf>
    <xf numFmtId="0" fontId="0" fillId="4" borderId="0" xfId="0" applyFill="1" applyAlignment="1"/>
    <xf numFmtId="49" fontId="0" fillId="0" borderId="0" xfId="0" applyNumberFormat="1" applyAlignment="1"/>
    <xf numFmtId="49" fontId="23" fillId="2" borderId="0" xfId="0" applyNumberFormat="1" applyFont="1" applyFill="1" applyAlignment="1">
      <alignment horizontal="center" vertical="center"/>
    </xf>
    <xf numFmtId="49" fontId="0" fillId="0" borderId="24" xfId="0" applyNumberFormat="1" applyFont="1" applyBorder="1" applyAlignment="1"/>
    <xf numFmtId="4" fontId="0" fillId="0" borderId="24" xfId="0" applyNumberFormat="1" applyBorder="1" applyAlignment="1">
      <alignment horizontal="right" vertical="center"/>
    </xf>
    <xf numFmtId="4" fontId="25" fillId="5" borderId="24" xfId="0" applyNumberFormat="1" applyFont="1" applyFill="1" applyBorder="1" applyAlignment="1">
      <alignment horizontal="right" vertical="center"/>
    </xf>
    <xf numFmtId="0" fontId="0" fillId="0" borderId="0" xfId="0" applyFont="1" applyAlignment="1"/>
    <xf numFmtId="0" fontId="6" fillId="0" borderId="0" xfId="0" applyFont="1" applyAlignment="1"/>
    <xf numFmtId="4" fontId="0" fillId="0" borderId="0" xfId="0" applyNumberFormat="1" applyAlignment="1">
      <alignment horizontal="right" vertical="center"/>
    </xf>
    <xf numFmtId="0" fontId="25" fillId="5" borderId="0" xfId="0" applyFont="1" applyFill="1" applyAlignment="1"/>
    <xf numFmtId="49" fontId="23" fillId="2" borderId="25" xfId="0" applyNumberFormat="1" applyFont="1" applyFill="1" applyBorder="1" applyAlignment="1">
      <alignment horizontal="center" vertical="center"/>
    </xf>
    <xf numFmtId="0" fontId="23" fillId="2" borderId="25" xfId="0" applyFont="1" applyFill="1" applyBorder="1" applyAlignment="1">
      <alignment horizontal="center" vertical="center"/>
    </xf>
    <xf numFmtId="49" fontId="0" fillId="4" borderId="25" xfId="0" applyNumberFormat="1" applyFont="1" applyFill="1" applyBorder="1" applyAlignment="1" applyProtection="1">
      <protection locked="0"/>
    </xf>
    <xf numFmtId="0" fontId="0" fillId="4" borderId="25" xfId="0" applyFont="1" applyFill="1" applyBorder="1" applyAlignment="1" applyProtection="1">
      <protection locked="0"/>
    </xf>
    <xf numFmtId="4" fontId="25" fillId="5" borderId="25" xfId="0" applyNumberFormat="1" applyFont="1" applyFill="1" applyBorder="1" applyAlignment="1">
      <alignment horizontal="right" vertical="center"/>
    </xf>
    <xf numFmtId="4" fontId="0" fillId="4" borderId="25" xfId="0" applyNumberFormat="1" applyFill="1" applyBorder="1" applyAlignment="1" applyProtection="1">
      <alignment horizontal="right" vertical="center"/>
      <protection locked="0"/>
    </xf>
    <xf numFmtId="167" fontId="0" fillId="4" borderId="25" xfId="0" applyNumberFormat="1" applyFill="1" applyBorder="1" applyAlignment="1" applyProtection="1">
      <alignment horizontal="right" vertical="center"/>
      <protection locked="0"/>
    </xf>
    <xf numFmtId="0" fontId="26" fillId="0" borderId="0" xfId="0" applyFont="1" applyAlignment="1"/>
    <xf numFmtId="0" fontId="0" fillId="5" borderId="0" xfId="0" applyFill="1" applyAlignment="1"/>
    <xf numFmtId="4" fontId="25" fillId="5" borderId="25" xfId="0" applyNumberFormat="1" applyFont="1" applyFill="1" applyBorder="1" applyAlignment="1"/>
    <xf numFmtId="2" fontId="25" fillId="5" borderId="25" xfId="0" applyNumberFormat="1" applyFont="1" applyFill="1" applyBorder="1" applyAlignment="1"/>
    <xf numFmtId="0" fontId="25" fillId="5" borderId="25" xfId="0" applyFont="1" applyFill="1" applyBorder="1" applyAlignment="1"/>
    <xf numFmtId="0" fontId="23" fillId="6" borderId="0" xfId="0" applyFont="1" applyFill="1" applyAlignment="1">
      <alignment horizontal="center" vertical="center"/>
    </xf>
    <xf numFmtId="167" fontId="0" fillId="0" borderId="24" xfId="0" applyNumberFormat="1" applyBorder="1" applyAlignment="1"/>
    <xf numFmtId="4" fontId="0" fillId="0" borderId="24" xfId="0" applyNumberFormat="1" applyBorder="1" applyAlignment="1"/>
    <xf numFmtId="0" fontId="6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32D2D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7F7F"/>
      <rgbColor rgb="FF800080"/>
      <rgbColor rgb="FF0E8388"/>
      <rgbColor rgb="FFBFBFBF"/>
      <rgbColor rgb="FF808080"/>
      <rgbColor rgb="FF9999FF"/>
      <rgbColor rgb="FF993366"/>
      <rgbColor rgb="FFFFF2CC"/>
      <rgbColor rgb="FFF2F4F8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70C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6A6A6"/>
      <rgbColor rgb="FF003366"/>
      <rgbColor rgb="FF339966"/>
      <rgbColor rgb="FF003300"/>
      <rgbColor rgb="FF333300"/>
      <rgbColor rgb="FF993300"/>
      <rgbColor rgb="FF993366"/>
      <rgbColor rgb="FF1F4E7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4</v>
  </rv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paniesTable" displayName="CompaniesTable" ref="A1:J3" totalsRowShown="0">
  <autoFilter ref="A1:J3" xr:uid="{00000000-0009-0000-0100-000001000000}"/>
  <tableColumns count="10">
    <tableColumn id="1" xr3:uid="{00000000-0010-0000-0000-000001000000}" name="Company ID"/>
    <tableColumn id="2" xr3:uid="{00000000-0010-0000-0000-000002000000}" name="Company Name"/>
    <tableColumn id="3" xr3:uid="{00000000-0010-0000-0000-000003000000}" name="Trading Name / Legal Subtitle"/>
    <tableColumn id="4" xr3:uid="{00000000-0010-0000-0000-000004000000}" name="Address Line 1"/>
    <tableColumn id="5" xr3:uid="{00000000-0010-0000-0000-000005000000}" name="Address Line 2"/>
    <tableColumn id="6" xr3:uid="{00000000-0010-0000-0000-000006000000}" name="Website"/>
    <tableColumn id="7" xr3:uid="{00000000-0010-0000-0000-000007000000}" name="Phone Number"/>
    <tableColumn id="8" xr3:uid="{00000000-0010-0000-0000-000008000000}" name="Email Address"/>
    <tableColumn id="9" xr3:uid="{00000000-0010-0000-0000-000009000000}" name="Query Office / Footer Text"/>
    <tableColumn id="10" xr3:uid="{00000000-0010-0000-0000-00000A000000}" name="Logo Fil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mployeesTable" displayName="EmployeesTable" ref="A1:R11" totalsRowShown="0">
  <autoFilter ref="A1:R11" xr:uid="{00000000-0009-0000-0100-000002000000}"/>
  <tableColumns count="18">
    <tableColumn id="1" xr3:uid="{00000000-0010-0000-0100-000001000000}" name="Company"/>
    <tableColumn id="2" xr3:uid="{00000000-0010-0000-0100-000002000000}" name="Employee Number"/>
    <tableColumn id="3" xr3:uid="{00000000-0010-0000-0100-000003000000}" name="Full Name"/>
    <tableColumn id="4" xr3:uid="{00000000-0010-0000-0100-000004000000}" name="ID Number"/>
    <tableColumn id="5" xr3:uid="{00000000-0010-0000-0100-000005000000}" name="Tax Reference Number"/>
    <tableColumn id="6" xr3:uid="{00000000-0010-0000-0100-000006000000}" name="Occupation / Designation"/>
    <tableColumn id="7" xr3:uid="{00000000-0010-0000-0100-000007000000}" name="Department"/>
    <tableColumn id="8" xr3:uid="{00000000-0010-0000-0100-000008000000}" name="Address"/>
    <tableColumn id="9" xr3:uid="{00000000-0010-0000-0100-000009000000}" name="Phone Number"/>
    <tableColumn id="10" xr3:uid="{00000000-0010-0000-0100-00000A000000}" name="Email Address"/>
    <tableColumn id="11" xr3:uid="{00000000-0010-0000-0100-00000B000000}" name="Payment Frequency"/>
    <tableColumn id="12" xr3:uid="{00000000-0010-0000-0100-00000C000000}" name="Standard Basic Salary"/>
    <tableColumn id="13" xr3:uid="{00000000-0010-0000-0100-00000D000000}" name="Standard Hourly Rate"/>
    <tableColumn id="14" xr3:uid="{00000000-0010-0000-0100-00000E000000}" name="Bank Name"/>
    <tableColumn id="15" xr3:uid="{00000000-0010-0000-0100-00000F000000}" name="Bank Account Number"/>
    <tableColumn id="16" xr3:uid="{00000000-0010-0000-0100-000010000000}" name="Account Type"/>
    <tableColumn id="17" xr3:uid="{00000000-0010-0000-0100-000011000000}" name="Payment Mode"/>
    <tableColumn id="18" xr3:uid="{00000000-0010-0000-0100-000012000000}" name="Statu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ayrollDataTable" displayName="PayrollDataTable" ref="A1:AD4" totalsRowShown="0">
  <autoFilter ref="A1:AD4" xr:uid="{00000000-0009-0000-0100-000003000000}"/>
  <tableColumns count="30">
    <tableColumn id="1" xr3:uid="{00000000-0010-0000-0200-000001000000}" name="Pay Period"/>
    <tableColumn id="2" xr3:uid="{00000000-0010-0000-0200-000002000000}" name="Pay Date"/>
    <tableColumn id="3" xr3:uid="{00000000-0010-0000-0200-000003000000}" name="Company"/>
    <tableColumn id="4" xr3:uid="{00000000-0010-0000-0200-000004000000}" name="Employee Name"/>
    <tableColumn id="5" xr3:uid="{00000000-0010-0000-0200-000005000000}" name="Basic Salary"/>
    <tableColumn id="6" xr3:uid="{00000000-0010-0000-0200-000006000000}" name="Normal Hours"/>
    <tableColumn id="7" xr3:uid="{00000000-0010-0000-0200-000007000000}" name="Hourly Rate"/>
    <tableColumn id="8" xr3:uid="{00000000-0010-0000-0200-000008000000}" name="OT 1.5x Hours"/>
    <tableColumn id="9" xr3:uid="{00000000-0010-0000-0200-000009000000}" name="OT 1.5x Rate"/>
    <tableColumn id="10" xr3:uid="{00000000-0010-0000-0200-00000A000000}" name="OT 1.5x Total"/>
    <tableColumn id="11" xr3:uid="{00000000-0010-0000-0200-00000B000000}" name="OT 2.0x Hours"/>
    <tableColumn id="12" xr3:uid="{00000000-0010-0000-0200-00000C000000}" name="OT 2.0x Rate"/>
    <tableColumn id="13" xr3:uid="{00000000-0010-0000-0200-00000D000000}" name="OT 2.0x Total"/>
    <tableColumn id="14" xr3:uid="{00000000-0010-0000-0200-00000E000000}" name="Commission Base"/>
    <tableColumn id="15" xr3:uid="{00000000-0010-0000-0200-00000F000000}" name="Commission Rate"/>
    <tableColumn id="16" xr3:uid="{00000000-0010-0000-0200-000010000000}" name="Commission Total"/>
    <tableColumn id="17" xr3:uid="{00000000-0010-0000-0200-000011000000}" name="Annual Bonus"/>
    <tableColumn id="18" xr3:uid="{00000000-0010-0000-0200-000012000000}" name="Performance Bonus"/>
    <tableColumn id="19" xr3:uid="{00000000-0010-0000-0200-000013000000}" name="Travel Allowance"/>
    <tableColumn id="20" xr3:uid="{00000000-0010-0000-0200-000014000000}" name="Other Allowance"/>
    <tableColumn id="21" xr3:uid="{00000000-0010-0000-0200-000015000000}" name="PAYE (Tax)"/>
    <tableColumn id="22" xr3:uid="{00000000-0010-0000-0200-000016000000}" name="UIF Amount"/>
    <tableColumn id="23" xr3:uid="{00000000-0010-0000-0200-000017000000}" name="Medical Aid"/>
    <tableColumn id="24" xr3:uid="{00000000-0010-0000-0200-000018000000}" name="Pension Fund"/>
    <tableColumn id="25" xr3:uid="{00000000-0010-0000-0200-000019000000}" name="Staff Loan"/>
    <tableColumn id="26" xr3:uid="{00000000-0010-0000-0200-00001A000000}" name="Unpaid Absence"/>
    <tableColumn id="27" xr3:uid="{00000000-0010-0000-0200-00001B000000}" name="Other Deductions"/>
    <tableColumn id="28" xr3:uid="{00000000-0010-0000-0200-00001C000000}" name="Gross Earnings"/>
    <tableColumn id="29" xr3:uid="{00000000-0010-0000-0200-00001D000000}" name="Total Deductions"/>
    <tableColumn id="30" xr3:uid="{00000000-0010-0000-0200-00001E000000}" name="Net Pay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ettingsTable" displayName="SettingsTable" ref="A1:D7" totalsRowShown="0">
  <autoFilter ref="A1:D7" xr:uid="{00000000-0009-0000-0100-000004000000}"/>
  <tableColumns count="4">
    <tableColumn id="1" xr3:uid="{00000000-0010-0000-0300-000001000000}" name="Category"/>
    <tableColumn id="2" xr3:uid="{00000000-0010-0000-0300-000002000000}" name="Parameter Name"/>
    <tableColumn id="3" xr3:uid="{00000000-0010-0000-0300-000003000000}" name="Value"/>
    <tableColumn id="4" xr3:uid="{00000000-0010-0000-0300-000004000000}" name="Description / 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omamahlangu09@gmail.com" TargetMode="External"/><Relationship Id="rId1" Type="http://schemas.openxmlformats.org/officeDocument/2006/relationships/hyperlink" Target="http://www.aloradentalcare.co.za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hyperlink" Target="mailto:bhekiwemohlala659@gmail.com" TargetMode="External"/><Relationship Id="rId1" Type="http://schemas.openxmlformats.org/officeDocument/2006/relationships/hyperlink" Target="mailto:vastikruger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7"/>
  <sheetViews>
    <sheetView zoomScaleNormal="100" workbookViewId="0">
      <selection activeCell="F1" sqref="F1"/>
    </sheetView>
  </sheetViews>
  <sheetFormatPr defaultColWidth="8.7109375" defaultRowHeight="15" x14ac:dyDescent="0.25"/>
  <cols>
    <col min="1" max="1" width="1.7109375" style="10" customWidth="1"/>
    <col min="2" max="2" width="47.85546875" style="10" customWidth="1"/>
    <col min="3" max="3" width="5" style="10" customWidth="1"/>
    <col min="4" max="4" width="25.5703125" style="10" customWidth="1"/>
    <col min="5" max="5" width="19.140625" style="10" customWidth="1"/>
    <col min="6" max="6" width="30.140625" style="10" customWidth="1"/>
    <col min="7" max="7" width="2.140625" style="10" customWidth="1"/>
    <col min="8" max="8" width="3.42578125" style="10" customWidth="1"/>
    <col min="9" max="9" width="18" style="10" customWidth="1"/>
    <col min="10" max="10" width="24" style="10" customWidth="1"/>
    <col min="11" max="11" width="0.140625" style="10" customWidth="1"/>
    <col min="12" max="12" width="4" style="10" customWidth="1"/>
    <col min="13" max="13" width="10.85546875" style="10" customWidth="1"/>
  </cols>
  <sheetData>
    <row r="1" spans="1:11" ht="87.75" customHeight="1" x14ac:dyDescent="0.25">
      <c r="A1" s="11"/>
      <c r="B1" s="12" t="s">
        <v>0</v>
      </c>
      <c r="C1" s="12"/>
      <c r="D1" s="12"/>
      <c r="E1" s="12"/>
      <c r="F1" s="12" t="e" vm="1">
        <f>IFERROR(INDEX(Companies!$J:$J, MATCH($B$2, Companies!$B:$B, 0)), "")</f>
        <v>#VALUE!</v>
      </c>
      <c r="G1" s="13"/>
      <c r="H1" s="14"/>
    </row>
    <row r="2" spans="1:11" ht="18.75" customHeight="1" x14ac:dyDescent="0.35">
      <c r="A2" s="15"/>
      <c r="B2" s="16" t="str">
        <f>IFERROR(J5, "Alora Dental Care")</f>
        <v>Alora Dental Care</v>
      </c>
      <c r="C2" s="16"/>
      <c r="G2" s="17"/>
      <c r="I2" s="9" t="s">
        <v>1</v>
      </c>
      <c r="J2" s="9"/>
      <c r="K2" s="9"/>
    </row>
    <row r="3" spans="1:11" s="22" customFormat="1" ht="38.25" customHeight="1" x14ac:dyDescent="0.2">
      <c r="A3" s="18"/>
      <c r="B3" s="19"/>
      <c r="C3" s="20"/>
      <c r="D3" s="21" t="str">
        <f>IFERROR(VLOOKUP(B2, Companies!B:J, 3, FALSE()) &amp; IF(VLOOKUP(B2, Companies!B:J, 4, FALSE())&lt;&gt;"", CHAR(10) &amp; VLOOKUP(B2, Companies!B:J, 4, FALSE()), ""), "Suite A4, Financial Square, Entrance 5 Ext 16, eMalahleni, 10359")</f>
        <v>Suite A4, Financial Square, Entrance 5 Ext 16
eMalahleni, 10359</v>
      </c>
      <c r="G3" s="23"/>
      <c r="I3" s="8" t="s">
        <v>2</v>
      </c>
      <c r="J3" s="8"/>
      <c r="K3" s="8"/>
    </row>
    <row r="4" spans="1:11" s="22" customFormat="1" ht="12" customHeight="1" x14ac:dyDescent="0.25">
      <c r="A4" s="18"/>
      <c r="B4" s="24" t="str">
        <f>IFERROR(VLOOKUP(B2, Companies!B:J, 5, FALSE()), "www.aloradentalcare.co.za")</f>
        <v>www.aloradentalcare.co.za</v>
      </c>
      <c r="C4" s="25"/>
      <c r="D4" s="26" t="str">
        <f>IFERROR("[Phone: " &amp; VLOOKUP(B2, Companies!B:J, 6, FALSE()) &amp; "]", "[Phone: (013)656-1067]")</f>
        <v>[Phone: (013)656-1067]</v>
      </c>
      <c r="E4" s="26"/>
      <c r="F4" s="26"/>
      <c r="G4" s="23"/>
    </row>
    <row r="5" spans="1:11" ht="16.5" customHeight="1" x14ac:dyDescent="0.25">
      <c r="A5" s="15"/>
      <c r="G5" s="17"/>
      <c r="I5" s="27" t="s">
        <v>3</v>
      </c>
      <c r="J5" s="7" t="s">
        <v>4</v>
      </c>
      <c r="K5" s="7"/>
    </row>
    <row r="6" spans="1:11" ht="11.25" customHeight="1" x14ac:dyDescent="0.25">
      <c r="A6" s="15"/>
      <c r="B6" s="28" t="s">
        <v>5</v>
      </c>
      <c r="C6" s="29"/>
      <c r="D6" s="30" t="s">
        <v>6</v>
      </c>
      <c r="E6" s="30" t="s">
        <v>7</v>
      </c>
      <c r="F6" s="31" t="s">
        <v>8</v>
      </c>
      <c r="G6" s="17"/>
    </row>
    <row r="7" spans="1:11" s="39" customFormat="1" ht="18" customHeight="1" x14ac:dyDescent="0.25">
      <c r="A7" s="32"/>
      <c r="B7" s="33" t="str">
        <f>IFERROR(J7, "NOMATHEMBA BIANCA MAHLANGU")</f>
        <v>Tintswalo Makhubela</v>
      </c>
      <c r="C7" s="34"/>
      <c r="D7" s="35" t="str">
        <f>IFERROR(VLOOKUP(B7, Employees!C:R, 2, FALSE()), "020309 0266 081")</f>
        <v>940322 0456 083</v>
      </c>
      <c r="E7" s="36">
        <f>IFERROR(VLOOKUP(B7, Employees!C:R, 3, FALSE()), "")</f>
        <v>0</v>
      </c>
      <c r="F7" s="37" t="str">
        <f>IFERROR(INDEX(Employees!B:B, MATCH(B7, Employees!C:C, 0)), "NTA002")</f>
        <v>EMP-0004</v>
      </c>
      <c r="G7" s="38"/>
      <c r="I7" s="27" t="s">
        <v>9</v>
      </c>
      <c r="J7" s="6" t="s">
        <v>10</v>
      </c>
      <c r="K7" s="6"/>
    </row>
    <row r="8" spans="1:11" ht="15" customHeight="1" x14ac:dyDescent="0.25">
      <c r="A8" s="15"/>
      <c r="G8" s="17"/>
    </row>
    <row r="9" spans="1:11" ht="15" customHeight="1" x14ac:dyDescent="0.25">
      <c r="A9" s="15"/>
      <c r="B9" s="40" t="s">
        <v>11</v>
      </c>
      <c r="C9" s="41"/>
      <c r="D9" s="40" t="s">
        <v>12</v>
      </c>
      <c r="F9" s="40" t="s">
        <v>13</v>
      </c>
      <c r="G9" s="17"/>
      <c r="I9" s="27" t="s">
        <v>14</v>
      </c>
      <c r="J9" s="6" t="s">
        <v>15</v>
      </c>
      <c r="K9" s="6"/>
    </row>
    <row r="10" spans="1:11" ht="15" customHeight="1" x14ac:dyDescent="0.25">
      <c r="A10" s="15"/>
      <c r="B10" s="42" t="str">
        <f>IFERROR(VLOOKUP(B7, Employees!C:R, 6, FALSE()), "942 STOWER STREET, TUSHANANG, EMALAHLENI")</f>
        <v>49 Duncan Street, Witbank, 1039</v>
      </c>
      <c r="C10" s="43"/>
      <c r="D10" s="44" t="str">
        <f>IFERROR(VLOOKUP(B7, Employees!C:R, 7, FALSE()), "+27 79 184 2503")</f>
        <v>+27 76 123 4567</v>
      </c>
      <c r="F10" s="45" t="str">
        <f>IFERROR(VLOOKUP(B7, Employees!C:R, 8, FALSE()), "nomamahlangu09@gmail.com")</f>
        <v>tintswalo@formalize.co.za</v>
      </c>
      <c r="G10" s="17"/>
    </row>
    <row r="11" spans="1:11" ht="15" customHeight="1" x14ac:dyDescent="0.25">
      <c r="A11" s="15"/>
      <c r="G11" s="17"/>
    </row>
    <row r="12" spans="1:11" ht="15" customHeight="1" x14ac:dyDescent="0.25">
      <c r="A12" s="15"/>
      <c r="B12" s="40" t="s">
        <v>16</v>
      </c>
      <c r="C12" s="41"/>
      <c r="D12" s="40" t="s">
        <v>17</v>
      </c>
      <c r="F12" s="40" t="s">
        <v>18</v>
      </c>
      <c r="G12" s="17"/>
      <c r="I12" s="5" t="s">
        <v>19</v>
      </c>
      <c r="J12" s="5"/>
      <c r="K12" s="5"/>
    </row>
    <row r="13" spans="1:11" ht="15" customHeight="1" x14ac:dyDescent="0.25">
      <c r="A13" s="15"/>
      <c r="B13" s="42" t="str">
        <f>IFERROR(VLOOKUP(B7, Employees!C:R, 4, FALSE()), "Trainee Nail Technician")</f>
        <v>Billing Administrator</v>
      </c>
      <c r="C13" s="43"/>
      <c r="D13" s="44" t="str">
        <f>IFERROR(TEXT(J9, "dd/mm/yyyy"), "23/12/2025")</f>
        <v>01/09/2026</v>
      </c>
      <c r="F13" s="46" t="str">
        <f>IFERROR(VLOOKUP(B7, Employees!C:R, 9, FALSE()), "Monthly")</f>
        <v>Monthly</v>
      </c>
      <c r="G13" s="17"/>
      <c r="I13" s="5"/>
      <c r="J13" s="5"/>
      <c r="K13" s="5"/>
    </row>
    <row r="14" spans="1:11" ht="15" customHeight="1" x14ac:dyDescent="0.25">
      <c r="A14" s="15"/>
      <c r="G14" s="17"/>
    </row>
    <row r="15" spans="1:11" ht="15.75" customHeight="1" x14ac:dyDescent="0.25">
      <c r="A15" s="15"/>
      <c r="B15" s="47" t="s">
        <v>20</v>
      </c>
      <c r="C15" s="48"/>
      <c r="D15" s="49" t="s">
        <v>21</v>
      </c>
      <c r="E15" s="49" t="s">
        <v>22</v>
      </c>
      <c r="F15" s="50" t="s">
        <v>23</v>
      </c>
      <c r="G15" s="17"/>
      <c r="I15" s="5" t="s">
        <v>24</v>
      </c>
      <c r="J15" s="5"/>
      <c r="K15" s="5"/>
    </row>
    <row r="16" spans="1:11" ht="15.75" customHeight="1" x14ac:dyDescent="0.25">
      <c r="A16" s="15"/>
      <c r="B16" s="51" t="str">
        <f>IFERROR(IF(AND(ISNUMBER(F16), F16&gt;0), "Basic Salary", ""), "")</f>
        <v>Basic Salary</v>
      </c>
      <c r="C16" s="52"/>
      <c r="D16" s="53">
        <f>IFERROR(IF(AND(ISNUMBER(E16), E16&gt;0), 1, ""), "")</f>
        <v>1</v>
      </c>
      <c r="E16" s="53">
        <f>IFERROR(INDEX('Payroll Data'!E:E, MATCH(B7, 'Payroll Data'!D:D, 0)), 4885.87)</f>
        <v>4885.87</v>
      </c>
      <c r="F16" s="54">
        <f>IFERROR(IF(AND(ISNUMBER(D16), ISNUMBER(E16), D16*E16&gt;0), D16*E16, ""), "")</f>
        <v>4885.87</v>
      </c>
      <c r="G16" s="17"/>
      <c r="I16" s="5"/>
      <c r="J16" s="5"/>
      <c r="K16" s="5"/>
    </row>
    <row r="17" spans="1:11" ht="15" customHeight="1" x14ac:dyDescent="0.25">
      <c r="A17" s="15"/>
      <c r="B17" s="55" t="str">
        <f>IFERROR(IF(AND(ISNUMBER(F17), F17&gt;0), "Commission @30% of Main Services", ""), "")</f>
        <v/>
      </c>
      <c r="C17" s="56"/>
      <c r="D17" s="57" t="str">
        <f>IFERROR(INDEX('Payroll Data'!N:N, MATCH(B7, 'Payroll Data'!D:D, 0)), "")</f>
        <v/>
      </c>
      <c r="E17" s="57" t="str">
        <f>IFERROR(INDEX('Payroll Data'!O:O, MATCH(B7, 'Payroll Data'!D:D, 0)), "")</f>
        <v/>
      </c>
      <c r="F17" s="58" t="str">
        <f>IFERROR(IF(AND(ISNUMBER(D17), ISNUMBER(E17), D17*E17&gt;0), D17*E17, ""), "")</f>
        <v/>
      </c>
      <c r="G17" s="17"/>
    </row>
    <row r="18" spans="1:11" ht="15" customHeight="1" x14ac:dyDescent="0.25">
      <c r="A18" s="15"/>
      <c r="B18" s="51" t="str">
        <f>IFERROR(IF(AND(ISNUMBER(F18), F18&gt;0), "Overtime @ 1.5", ""), "")</f>
        <v/>
      </c>
      <c r="C18" s="52"/>
      <c r="D18" s="53" t="str">
        <f>IFERROR(INDEX('Payroll Data'!H:H, MATCH(B7, 'Payroll Data'!D:D, 0)), "")</f>
        <v/>
      </c>
      <c r="E18" s="59">
        <f>IFERROR(IF(D18&gt;0, ROUND(E16/Settings!$C$4*Settings!$C$5, 4), ""), "")</f>
        <v>37.583599999999997</v>
      </c>
      <c r="F18" s="54" t="str">
        <f>IFERROR(IF(AND(ISNUMBER(D18), ISNUMBER(E18), D18*E18&gt;0), D18*E18, ""), "")</f>
        <v/>
      </c>
      <c r="G18" s="17"/>
      <c r="I18" s="5" t="s">
        <v>25</v>
      </c>
      <c r="J18" s="5"/>
      <c r="K18" s="5"/>
    </row>
    <row r="19" spans="1:11" ht="15" customHeight="1" x14ac:dyDescent="0.25">
      <c r="A19" s="15"/>
      <c r="B19" s="55" t="str">
        <f>IFERROR(IF(AND(ISNUMBER(F19), F19&gt;0), "Annual Bonus @55%", ""), "")</f>
        <v/>
      </c>
      <c r="C19" s="56"/>
      <c r="D19" s="57" t="str">
        <f>IFERROR(IF(AND(ISNUMBER(E19), E19&gt;0), 1, ""), "")</f>
        <v/>
      </c>
      <c r="E19" s="60" t="str">
        <f>IFERROR(INDEX('Payroll Data'!Q:Q, MATCH(B7, 'Payroll Data'!D:D, 0)), "")</f>
        <v/>
      </c>
      <c r="F19" s="58" t="str">
        <f>IFERROR(IF(AND(ISNUMBER(D19), ISNUMBER(E19), D19*E19&gt;0), D19*E19, ""), "")</f>
        <v/>
      </c>
      <c r="G19" s="17"/>
      <c r="I19" s="5"/>
      <c r="J19" s="5"/>
      <c r="K19" s="5"/>
    </row>
    <row r="20" spans="1:11" ht="15" customHeight="1" x14ac:dyDescent="0.25">
      <c r="A20" s="15"/>
      <c r="B20" s="51"/>
      <c r="C20" s="52"/>
      <c r="D20" s="53"/>
      <c r="E20" s="53"/>
      <c r="F20" s="54" t="str">
        <f t="shared" ref="F20:F30" si="0">IFERROR(IF(AND(D20&lt;&gt;"", E20&lt;&gt;""), D20*E20, ""), "")</f>
        <v/>
      </c>
      <c r="G20" s="17"/>
    </row>
    <row r="21" spans="1:11" ht="15" customHeight="1" x14ac:dyDescent="0.25">
      <c r="A21" s="15"/>
      <c r="B21" s="55"/>
      <c r="C21" s="56"/>
      <c r="D21" s="57"/>
      <c r="E21" s="57"/>
      <c r="F21" s="58" t="str">
        <f t="shared" si="0"/>
        <v/>
      </c>
      <c r="G21" s="17"/>
    </row>
    <row r="22" spans="1:11" ht="15" customHeight="1" x14ac:dyDescent="0.25">
      <c r="A22" s="15"/>
      <c r="B22" s="51"/>
      <c r="C22" s="52"/>
      <c r="D22" s="53"/>
      <c r="E22" s="53"/>
      <c r="F22" s="54" t="str">
        <f t="shared" si="0"/>
        <v/>
      </c>
      <c r="G22" s="17"/>
      <c r="I22" s="4" t="s">
        <v>26</v>
      </c>
      <c r="J22" s="4"/>
      <c r="K22" s="4"/>
    </row>
    <row r="23" spans="1:11" ht="15" customHeight="1" x14ac:dyDescent="0.25">
      <c r="A23" s="15"/>
      <c r="B23" s="55"/>
      <c r="C23" s="56"/>
      <c r="D23" s="57"/>
      <c r="E23" s="57"/>
      <c r="F23" s="58" t="str">
        <f t="shared" si="0"/>
        <v/>
      </c>
      <c r="G23" s="17"/>
      <c r="I23" s="61" t="s">
        <v>27</v>
      </c>
      <c r="J23" s="3">
        <f>F32</f>
        <v>4885.87</v>
      </c>
      <c r="K23" s="3"/>
    </row>
    <row r="24" spans="1:11" ht="15" customHeight="1" x14ac:dyDescent="0.25">
      <c r="A24" s="15"/>
      <c r="B24" s="51"/>
      <c r="C24" s="52"/>
      <c r="D24" s="53"/>
      <c r="E24" s="53"/>
      <c r="F24" s="54" t="str">
        <f t="shared" si="0"/>
        <v/>
      </c>
      <c r="G24" s="17"/>
      <c r="I24" s="61" t="s">
        <v>28</v>
      </c>
      <c r="J24" s="3">
        <f>F45</f>
        <v>48.86</v>
      </c>
      <c r="K24" s="3"/>
    </row>
    <row r="25" spans="1:11" ht="15" customHeight="1" x14ac:dyDescent="0.25">
      <c r="A25" s="15"/>
      <c r="B25" s="55"/>
      <c r="C25" s="56"/>
      <c r="D25" s="57"/>
      <c r="E25" s="57"/>
      <c r="F25" s="58" t="str">
        <f t="shared" si="0"/>
        <v/>
      </c>
      <c r="G25" s="17"/>
      <c r="I25" s="62" t="s">
        <v>29</v>
      </c>
      <c r="J25" s="2">
        <f>F47</f>
        <v>4837.01</v>
      </c>
      <c r="K25" s="2"/>
    </row>
    <row r="26" spans="1:11" ht="15" customHeight="1" x14ac:dyDescent="0.25">
      <c r="A26" s="15"/>
      <c r="B26" s="51"/>
      <c r="C26" s="52"/>
      <c r="D26" s="53"/>
      <c r="E26" s="53"/>
      <c r="F26" s="54" t="str">
        <f t="shared" si="0"/>
        <v/>
      </c>
      <c r="G26" s="17"/>
    </row>
    <row r="27" spans="1:11" ht="15" hidden="1" customHeight="1" x14ac:dyDescent="0.25">
      <c r="A27" s="15"/>
      <c r="B27" s="51"/>
      <c r="C27" s="52"/>
      <c r="D27" s="53"/>
      <c r="E27" s="53"/>
      <c r="F27" s="54" t="str">
        <f t="shared" si="0"/>
        <v/>
      </c>
      <c r="G27" s="17"/>
    </row>
    <row r="28" spans="1:11" ht="15" hidden="1" customHeight="1" x14ac:dyDescent="0.25">
      <c r="A28" s="15"/>
      <c r="B28" s="55"/>
      <c r="C28" s="56"/>
      <c r="D28" s="57"/>
      <c r="E28" s="57"/>
      <c r="F28" s="58" t="str">
        <f t="shared" si="0"/>
        <v/>
      </c>
      <c r="G28" s="17"/>
    </row>
    <row r="29" spans="1:11" ht="15" hidden="1" customHeight="1" x14ac:dyDescent="0.25">
      <c r="A29" s="15"/>
      <c r="B29" s="51"/>
      <c r="C29" s="52"/>
      <c r="D29" s="53"/>
      <c r="E29" s="53"/>
      <c r="F29" s="54" t="str">
        <f t="shared" si="0"/>
        <v/>
      </c>
      <c r="G29" s="17"/>
    </row>
    <row r="30" spans="1:11" ht="15" hidden="1" customHeight="1" x14ac:dyDescent="0.25">
      <c r="A30" s="15"/>
      <c r="B30" s="55"/>
      <c r="C30" s="56"/>
      <c r="D30" s="57"/>
      <c r="E30" s="57"/>
      <c r="F30" s="58" t="str">
        <f t="shared" si="0"/>
        <v/>
      </c>
      <c r="G30" s="17"/>
    </row>
    <row r="31" spans="1:11" ht="15" hidden="1" customHeight="1" x14ac:dyDescent="0.25">
      <c r="A31" s="15"/>
      <c r="B31" s="51"/>
      <c r="C31" s="52"/>
      <c r="D31" s="53"/>
      <c r="E31" s="53"/>
      <c r="F31" s="54"/>
      <c r="G31" s="17"/>
    </row>
    <row r="32" spans="1:11" ht="15" customHeight="1" x14ac:dyDescent="0.25">
      <c r="A32" s="15"/>
      <c r="B32" s="63"/>
      <c r="C32" s="64"/>
      <c r="D32" s="64"/>
      <c r="E32" s="65" t="s">
        <v>30</v>
      </c>
      <c r="F32" s="66">
        <f>SUM(F16:F31)</f>
        <v>4885.87</v>
      </c>
      <c r="G32" s="17"/>
    </row>
    <row r="33" spans="1:7" ht="15" customHeight="1" x14ac:dyDescent="0.25">
      <c r="A33" s="15"/>
      <c r="G33" s="17"/>
    </row>
    <row r="34" spans="1:7" ht="15.75" customHeight="1" x14ac:dyDescent="0.25">
      <c r="A34" s="15"/>
      <c r="B34" s="67" t="s">
        <v>31</v>
      </c>
      <c r="C34" s="68"/>
      <c r="D34" s="69"/>
      <c r="E34" s="69"/>
      <c r="F34" s="70" t="s">
        <v>23</v>
      </c>
      <c r="G34" s="17"/>
    </row>
    <row r="35" spans="1:7" ht="15.75" customHeight="1" x14ac:dyDescent="0.25">
      <c r="A35" s="15"/>
      <c r="B35" s="51" t="str">
        <f>IFERROR(IF(AND(ISNUMBER(F35), F35&gt;0), "PAYE", ""), "")</f>
        <v/>
      </c>
      <c r="C35" s="52"/>
      <c r="D35" s="53"/>
      <c r="E35" s="53"/>
      <c r="F35" s="54" t="str">
        <f>IFERROR(IF(INDEX('Payroll Data'!U:U, MATCH(B7, 'Payroll Data'!D:D, 0))&gt;0, INDEX('Payroll Data'!U:U, MATCH(B7, 'Payroll Data'!D:D, 0)), ""), "")</f>
        <v/>
      </c>
      <c r="G35" s="17"/>
    </row>
    <row r="36" spans="1:7" ht="15" customHeight="1" x14ac:dyDescent="0.25">
      <c r="A36" s="15"/>
      <c r="B36" s="55" t="str">
        <f>IFERROR(IF(AND(ISNUMBER(F36), F36&gt;0), "UIF", ""), "")</f>
        <v>UIF</v>
      </c>
      <c r="C36" s="56"/>
      <c r="D36" s="57"/>
      <c r="E36" s="57"/>
      <c r="F36" s="58">
        <f>IFERROR(IF(AND(ISNUMBER(F32), F32&gt;0, ROUND(MIN(F32*Settings!$C$2, Settings!$C$3),2)&gt;0), ROUND(MIN(F32*Settings!$C$2, Settings!$C$3),2), ""), "")</f>
        <v>48.86</v>
      </c>
      <c r="G36" s="17"/>
    </row>
    <row r="37" spans="1:7" ht="15" customHeight="1" x14ac:dyDescent="0.25">
      <c r="A37" s="15"/>
      <c r="B37" s="51" t="s">
        <v>32</v>
      </c>
      <c r="C37" s="52"/>
      <c r="D37" s="53"/>
      <c r="E37" s="53"/>
      <c r="F37" s="54"/>
      <c r="G37" s="17"/>
    </row>
    <row r="38" spans="1:7" ht="15" customHeight="1" x14ac:dyDescent="0.25">
      <c r="A38" s="15"/>
      <c r="B38" s="55" t="str">
        <f>IFERROR(IF(AND(ISNUMBER(F38), F38&gt;0), "Medical Aid", ""), "")</f>
        <v/>
      </c>
      <c r="C38" s="56"/>
      <c r="D38" s="57"/>
      <c r="E38" s="57"/>
      <c r="F38" s="58" t="str">
        <f>IFERROR(IF(INDEX('Payroll Data'!W:W, MATCH(B7, 'Payroll Data'!D:D, 0))&gt;0, INDEX('Payroll Data'!W:W, MATCH(B7, 'Payroll Data'!D:D, 0)), ""), "")</f>
        <v/>
      </c>
      <c r="G38" s="17"/>
    </row>
    <row r="39" spans="1:7" ht="15" customHeight="1" x14ac:dyDescent="0.25">
      <c r="A39" s="15"/>
      <c r="B39" s="51"/>
      <c r="C39" s="52"/>
      <c r="D39" s="53"/>
      <c r="E39" s="53"/>
      <c r="F39" s="54"/>
      <c r="G39" s="17"/>
    </row>
    <row r="40" spans="1:7" ht="15" hidden="1" customHeight="1" x14ac:dyDescent="0.25">
      <c r="A40" s="15"/>
      <c r="B40" s="55"/>
      <c r="C40" s="56"/>
      <c r="D40" s="57"/>
      <c r="E40" s="57"/>
      <c r="F40" s="58"/>
      <c r="G40" s="17"/>
    </row>
    <row r="41" spans="1:7" ht="15" hidden="1" customHeight="1" x14ac:dyDescent="0.25">
      <c r="A41" s="15"/>
      <c r="B41" s="51"/>
      <c r="C41" s="52"/>
      <c r="D41" s="53"/>
      <c r="E41" s="53"/>
      <c r="F41" s="54"/>
      <c r="G41" s="17"/>
    </row>
    <row r="42" spans="1:7" ht="15" hidden="1" customHeight="1" x14ac:dyDescent="0.25">
      <c r="A42" s="15"/>
      <c r="B42" s="55"/>
      <c r="C42" s="56"/>
      <c r="D42" s="57"/>
      <c r="E42" s="57"/>
      <c r="F42" s="58"/>
      <c r="G42" s="17"/>
    </row>
    <row r="43" spans="1:7" ht="15" hidden="1" customHeight="1" x14ac:dyDescent="0.25">
      <c r="A43" s="15"/>
      <c r="B43" s="51"/>
      <c r="C43" s="52"/>
      <c r="D43" s="53"/>
      <c r="E43" s="53"/>
      <c r="F43" s="54"/>
      <c r="G43" s="17"/>
    </row>
    <row r="44" spans="1:7" ht="15" customHeight="1" x14ac:dyDescent="0.25">
      <c r="A44" s="15"/>
      <c r="B44" s="55"/>
      <c r="C44" s="56"/>
      <c r="D44" s="56"/>
      <c r="E44" s="71"/>
      <c r="F44" s="58"/>
      <c r="G44" s="17"/>
    </row>
    <row r="45" spans="1:7" ht="15" customHeight="1" x14ac:dyDescent="0.25">
      <c r="A45" s="15"/>
      <c r="B45" s="63"/>
      <c r="C45" s="64"/>
      <c r="D45" s="64"/>
      <c r="E45" s="65" t="s">
        <v>33</v>
      </c>
      <c r="F45" s="66">
        <f>SUM(F35:F44)</f>
        <v>48.86</v>
      </c>
      <c r="G45" s="17"/>
    </row>
    <row r="46" spans="1:7" ht="15" customHeight="1" x14ac:dyDescent="0.25">
      <c r="A46" s="15"/>
      <c r="G46" s="17"/>
    </row>
    <row r="47" spans="1:7" ht="21" customHeight="1" x14ac:dyDescent="0.35">
      <c r="A47" s="15"/>
      <c r="B47" s="72"/>
      <c r="D47" s="73"/>
      <c r="E47" s="74" t="s">
        <v>34</v>
      </c>
      <c r="F47" s="75">
        <f>F32-F45</f>
        <v>4837.01</v>
      </c>
      <c r="G47" s="17"/>
    </row>
    <row r="48" spans="1:7" ht="15" customHeight="1" x14ac:dyDescent="0.25">
      <c r="A48" s="15"/>
      <c r="B48" s="72"/>
      <c r="G48" s="17"/>
    </row>
    <row r="49" spans="1:7" ht="15" customHeight="1" x14ac:dyDescent="0.25">
      <c r="A49" s="15"/>
      <c r="B49" s="72" t="s">
        <v>35</v>
      </c>
      <c r="D49" s="10" t="str">
        <f>IFERROR(VLOOKUP(B7, Employees!C:R, 12, FALSE()), "")</f>
        <v>Standard Bank South Africa</v>
      </c>
      <c r="G49" s="17"/>
    </row>
    <row r="50" spans="1:7" ht="15" customHeight="1" x14ac:dyDescent="0.25">
      <c r="A50" s="15"/>
      <c r="B50" s="72" t="s">
        <v>36</v>
      </c>
      <c r="D50" s="10" t="str">
        <f>IFERROR(VLOOKUP(B7, Employees!C:R, 13, FALSE()), "")</f>
        <v>10293847561</v>
      </c>
      <c r="G50" s="17"/>
    </row>
    <row r="51" spans="1:7" ht="15" customHeight="1" x14ac:dyDescent="0.25">
      <c r="A51" s="15"/>
      <c r="B51" s="76" t="s">
        <v>37</v>
      </c>
      <c r="D51" s="10" t="str">
        <f>IFERROR(VLOOKUP(B7, Employees!C:R, 14, FALSE()), "")</f>
        <v>Cheque / Current</v>
      </c>
      <c r="G51" s="17"/>
    </row>
    <row r="52" spans="1:7" ht="15" customHeight="1" x14ac:dyDescent="0.25">
      <c r="A52" s="15"/>
      <c r="B52" s="10" t="s">
        <v>38</v>
      </c>
      <c r="D52" s="10" t="str">
        <f>IFERROR(VLOOKUP(B7, Employees!C:R, 15, FALSE()), "EFT")</f>
        <v>EFT</v>
      </c>
      <c r="G52" s="17"/>
    </row>
    <row r="53" spans="1:7" ht="15" customHeight="1" x14ac:dyDescent="0.25">
      <c r="A53" s="15"/>
      <c r="G53" s="17"/>
    </row>
    <row r="54" spans="1:7" ht="15" customHeight="1" x14ac:dyDescent="0.25">
      <c r="A54" s="15"/>
      <c r="B54" s="77"/>
      <c r="D54" s="77"/>
      <c r="G54" s="17"/>
    </row>
    <row r="55" spans="1:7" ht="8.25" customHeight="1" x14ac:dyDescent="0.25">
      <c r="A55" s="15"/>
      <c r="G55" s="17"/>
    </row>
    <row r="56" spans="1:7" ht="165" customHeight="1" x14ac:dyDescent="0.25">
      <c r="A56" s="63"/>
      <c r="B56" s="1" t="str">
        <f>IFERROR(VLOOKUP(B2, Companies!B:J, 8, FALSE()), "Employee questions may be directed to business administration office : 49 Duncan Street, Witbank, 1039
 010 824 9087 Or Managing Partner 0817657816")</f>
        <v>Employee questions may be directed to business administration office : 49 Duncan Street, Witbank, 1039
 010 824 9087 Or Managing Partner 0817657816</v>
      </c>
      <c r="C56" s="1"/>
      <c r="D56" s="1"/>
      <c r="E56" s="1"/>
      <c r="F56" s="1"/>
      <c r="G56" s="78"/>
    </row>
    <row r="57" spans="1:7" ht="31.5" customHeight="1" x14ac:dyDescent="0.25"/>
  </sheetData>
  <mergeCells count="13">
    <mergeCell ref="J24:K24"/>
    <mergeCell ref="J25:K25"/>
    <mergeCell ref="B56:F56"/>
    <mergeCell ref="I12:K13"/>
    <mergeCell ref="I15:K16"/>
    <mergeCell ref="I18:K19"/>
    <mergeCell ref="I22:K22"/>
    <mergeCell ref="J23:K23"/>
    <mergeCell ref="I2:K2"/>
    <mergeCell ref="I3:K3"/>
    <mergeCell ref="J5:K5"/>
    <mergeCell ref="J7:K7"/>
    <mergeCell ref="J9:K9"/>
  </mergeCells>
  <dataValidations count="3">
    <dataValidation type="list" allowBlank="1" sqref="J5" xr:uid="{00000000-0002-0000-0000-000000000000}">
      <formula1>CompanyList</formula1>
      <formula2>0</formula2>
    </dataValidation>
    <dataValidation type="list" allowBlank="1" sqref="J7" xr:uid="{00000000-0002-0000-0000-000001000000}">
      <formula1>FilteredEmployeeList</formula1>
      <formula2>0</formula2>
    </dataValidation>
    <dataValidation type="list" allowBlank="1" sqref="J9:K9" xr:uid="{00000000-0002-0000-0000-000002000000}">
      <formula1>PayPeriodList</formula1>
      <formula2>0</formula2>
    </dataValidation>
  </dataValidations>
  <hyperlinks>
    <hyperlink ref="B4" r:id="rId1" display="http://www.aloradentalcare.co.za/" xr:uid="{00000000-0004-0000-0000-000000000000}"/>
    <hyperlink ref="F10" r:id="rId2" display="mailto:nomamahlangu09@gmail.com" xr:uid="{00000000-0004-0000-0000-000001000000}"/>
  </hyperlinks>
  <printOptions horizontalCentered="1" verticalCentered="1"/>
  <pageMargins left="0.25" right="0.25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"/>
  <sheetViews>
    <sheetView topLeftCell="E1" zoomScaleNormal="100" workbookViewId="0">
      <selection activeCell="J2" sqref="J2"/>
    </sheetView>
  </sheetViews>
  <sheetFormatPr defaultColWidth="8.7109375" defaultRowHeight="15" x14ac:dyDescent="0.25"/>
  <cols>
    <col min="1" max="1" width="14" style="10" customWidth="1"/>
    <col min="2" max="2" width="23" style="10" customWidth="1"/>
    <col min="3" max="3" width="65" style="10" customWidth="1"/>
    <col min="4" max="4" width="48" style="10" customWidth="1"/>
    <col min="5" max="5" width="20" style="10" customWidth="1"/>
    <col min="6" max="6" width="28" style="10" customWidth="1"/>
    <col min="7" max="7" width="18" style="10" customWidth="1"/>
    <col min="8" max="8" width="30" style="10" customWidth="1"/>
    <col min="9" max="9" width="45" style="10" customWidth="1"/>
    <col min="10" max="10" width="30" style="10" customWidth="1"/>
    <col min="11" max="11" width="22" style="10" customWidth="1"/>
  </cols>
  <sheetData>
    <row r="1" spans="1:11" ht="15" customHeight="1" x14ac:dyDescent="0.25">
      <c r="A1" s="79" t="s">
        <v>39</v>
      </c>
      <c r="B1" s="79" t="s">
        <v>40</v>
      </c>
      <c r="C1" s="79" t="s">
        <v>41</v>
      </c>
      <c r="D1" s="79" t="s">
        <v>42</v>
      </c>
      <c r="E1" s="79" t="s">
        <v>43</v>
      </c>
      <c r="F1" s="79" t="s">
        <v>44</v>
      </c>
      <c r="G1" s="79" t="s">
        <v>45</v>
      </c>
      <c r="H1" s="79" t="s">
        <v>46</v>
      </c>
      <c r="I1" s="79" t="s">
        <v>47</v>
      </c>
      <c r="J1" s="79" t="s">
        <v>48</v>
      </c>
      <c r="K1" s="80" t="s">
        <v>49</v>
      </c>
    </row>
    <row r="2" spans="1:11" ht="60" customHeight="1" x14ac:dyDescent="0.25">
      <c r="A2" s="81" t="s">
        <v>50</v>
      </c>
      <c r="B2" s="82" t="s">
        <v>4</v>
      </c>
      <c r="C2" s="82" t="s">
        <v>4</v>
      </c>
      <c r="D2" s="82" t="s">
        <v>51</v>
      </c>
      <c r="E2" s="82" t="s">
        <v>52</v>
      </c>
      <c r="F2" s="82" t="s">
        <v>53</v>
      </c>
      <c r="G2" s="82" t="s">
        <v>54</v>
      </c>
      <c r="H2" s="82" t="s">
        <v>55</v>
      </c>
      <c r="I2" s="83" t="s">
        <v>56</v>
      </c>
      <c r="J2" s="82" t="e" vm="2">
        <v>#VALUE!</v>
      </c>
      <c r="K2" s="84">
        <v>195</v>
      </c>
    </row>
    <row r="3" spans="1:11" ht="60" customHeight="1" x14ac:dyDescent="0.25">
      <c r="A3" s="81" t="s">
        <v>57</v>
      </c>
      <c r="B3" s="82" t="s">
        <v>58</v>
      </c>
      <c r="C3" s="82" t="s">
        <v>59</v>
      </c>
      <c r="D3" s="82" t="s">
        <v>60</v>
      </c>
      <c r="E3" s="82" t="s">
        <v>61</v>
      </c>
      <c r="F3" s="82" t="s">
        <v>62</v>
      </c>
      <c r="G3" s="82" t="s">
        <v>63</v>
      </c>
      <c r="H3" s="82" t="s">
        <v>64</v>
      </c>
      <c r="I3" s="83" t="s">
        <v>56</v>
      </c>
      <c r="J3" s="82" t="e">
        <f>#VALUE!</f>
        <v>#VALUE!</v>
      </c>
      <c r="K3" s="84">
        <v>195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00"/>
  <sheetViews>
    <sheetView tabSelected="1" zoomScaleNormal="100" workbookViewId="0">
      <selection activeCell="R11" sqref="R11"/>
    </sheetView>
  </sheetViews>
  <sheetFormatPr defaultColWidth="8.7109375" defaultRowHeight="15" x14ac:dyDescent="0.25"/>
  <cols>
    <col min="1" max="1" width="20" style="10" customWidth="1"/>
    <col min="2" max="2" width="18" style="10" customWidth="1"/>
    <col min="3" max="3" width="29" style="10" customWidth="1"/>
    <col min="4" max="4" width="19" style="85" customWidth="1"/>
    <col min="5" max="5" width="23" style="10" customWidth="1"/>
    <col min="6" max="6" width="27" style="10" customWidth="1"/>
    <col min="7" max="7" width="22" style="10" customWidth="1"/>
    <col min="8" max="8" width="43" style="10" customWidth="1"/>
    <col min="9" max="9" width="18" style="10" customWidth="1"/>
    <col min="10" max="10" width="29" style="10" customWidth="1"/>
    <col min="11" max="11" width="20" style="10" customWidth="1"/>
    <col min="12" max="12" width="24" style="10" customWidth="1"/>
    <col min="13" max="13" width="23" style="10" customWidth="1"/>
    <col min="14" max="14" width="29" style="10" customWidth="1"/>
    <col min="15" max="15" width="22" style="10" customWidth="1"/>
    <col min="16" max="16" width="19" style="10" customWidth="1"/>
    <col min="17" max="17" width="15" style="10" customWidth="1"/>
    <col min="18" max="18" width="13" style="10" customWidth="1"/>
    <col min="19" max="19" width="13" style="10" hidden="1" customWidth="1"/>
    <col min="21" max="21" width="13" style="10" hidden="1" customWidth="1"/>
  </cols>
  <sheetData>
    <row r="1" spans="1:21" ht="15" customHeight="1" x14ac:dyDescent="0.25">
      <c r="A1" s="79" t="s">
        <v>65</v>
      </c>
      <c r="B1" s="79" t="s">
        <v>66</v>
      </c>
      <c r="C1" s="79" t="s">
        <v>67</v>
      </c>
      <c r="D1" s="86" t="s">
        <v>68</v>
      </c>
      <c r="E1" s="79" t="s">
        <v>69</v>
      </c>
      <c r="F1" s="79" t="s">
        <v>70</v>
      </c>
      <c r="G1" s="79" t="s">
        <v>71</v>
      </c>
      <c r="H1" s="79" t="s">
        <v>72</v>
      </c>
      <c r="I1" s="79" t="s">
        <v>45</v>
      </c>
      <c r="J1" s="79" t="s">
        <v>46</v>
      </c>
      <c r="K1" s="79" t="s">
        <v>73</v>
      </c>
      <c r="L1" s="79" t="s">
        <v>74</v>
      </c>
      <c r="M1" s="79" t="s">
        <v>75</v>
      </c>
      <c r="N1" s="79" t="s">
        <v>35</v>
      </c>
      <c r="O1" s="79" t="s">
        <v>76</v>
      </c>
      <c r="P1" s="79" t="s">
        <v>37</v>
      </c>
      <c r="Q1" s="79" t="s">
        <v>38</v>
      </c>
      <c r="R1" s="79" t="s">
        <v>77</v>
      </c>
      <c r="S1" s="10" t="s">
        <v>78</v>
      </c>
      <c r="U1" s="10" t="s">
        <v>79</v>
      </c>
    </row>
    <row r="2" spans="1:21" ht="15" customHeight="1" x14ac:dyDescent="0.25">
      <c r="A2" s="82" t="s">
        <v>58</v>
      </c>
      <c r="B2" s="82" t="s">
        <v>80</v>
      </c>
      <c r="C2" s="82" t="s">
        <v>81</v>
      </c>
      <c r="D2" s="87" t="s">
        <v>82</v>
      </c>
      <c r="E2" s="82"/>
      <c r="F2" s="82" t="s">
        <v>83</v>
      </c>
      <c r="G2" s="82" t="s">
        <v>84</v>
      </c>
      <c r="H2" s="82" t="s">
        <v>85</v>
      </c>
      <c r="I2" s="82" t="s">
        <v>63</v>
      </c>
      <c r="J2" s="82" t="s">
        <v>86</v>
      </c>
      <c r="K2" s="82" t="s">
        <v>87</v>
      </c>
      <c r="L2" s="88">
        <v>6690.42</v>
      </c>
      <c r="M2" s="89">
        <f>IFERROR(L2/INDEX(Companies!$K:$K,MATCH(A2,Companies!$B:$B,0)),"")</f>
        <v>34.309846153846152</v>
      </c>
      <c r="N2" s="82" t="s">
        <v>88</v>
      </c>
      <c r="O2" s="82" t="s">
        <v>89</v>
      </c>
      <c r="P2" s="82" t="s">
        <v>90</v>
      </c>
      <c r="Q2" s="82" t="s">
        <v>91</v>
      </c>
      <c r="R2" s="82" t="s">
        <v>92</v>
      </c>
      <c r="S2" s="10">
        <f>IF($A2="","",COUNTIF($A$2:$A2,$A2))</f>
        <v>1</v>
      </c>
      <c r="U2" s="10" t="str">
        <f>IFERROR(INDEX($C$2:$C$301, SUMPRODUCT((($A$2:$A$301='Payslip Template'!$B$2)*($S$2:$S$300=1))*ROW($A$2:$A$301))-1), "")</f>
        <v/>
      </c>
    </row>
    <row r="3" spans="1:21" ht="15" customHeight="1" x14ac:dyDescent="0.25">
      <c r="A3" s="82" t="s">
        <v>58</v>
      </c>
      <c r="B3" s="82" t="s">
        <v>93</v>
      </c>
      <c r="C3" s="82" t="s">
        <v>94</v>
      </c>
      <c r="D3" s="87" t="s">
        <v>95</v>
      </c>
      <c r="E3" s="82"/>
      <c r="F3" s="82" t="s">
        <v>96</v>
      </c>
      <c r="G3" s="82" t="s">
        <v>97</v>
      </c>
      <c r="H3" s="82" t="s">
        <v>85</v>
      </c>
      <c r="I3" s="82" t="s">
        <v>98</v>
      </c>
      <c r="J3" s="82" t="s">
        <v>99</v>
      </c>
      <c r="K3" s="82" t="s">
        <v>87</v>
      </c>
      <c r="L3" s="88">
        <v>15000</v>
      </c>
      <c r="M3" s="89">
        <f>IFERROR(L3/INDEX(Companies!$K:$K,MATCH(A3,Companies!$B:$B,0)),"")</f>
        <v>76.92307692307692</v>
      </c>
      <c r="N3" s="82" t="s">
        <v>100</v>
      </c>
      <c r="O3" s="82" t="s">
        <v>101</v>
      </c>
      <c r="P3" s="82" t="s">
        <v>90</v>
      </c>
      <c r="Q3" s="82" t="s">
        <v>91</v>
      </c>
      <c r="R3" s="82" t="s">
        <v>92</v>
      </c>
      <c r="S3" s="10">
        <f>IF($A3="","",COUNTIF($A$2:$A3,$A3))</f>
        <v>2</v>
      </c>
      <c r="U3" s="10" t="str">
        <f>IFERROR(INDEX($C$2:$C$301, SUMPRODUCT((($A$2:$A$301='Payslip Template'!$B$2)*($S$2:$S$300=2))*ROW($A$2:$A$301))-1), "")</f>
        <v/>
      </c>
    </row>
    <row r="4" spans="1:21" ht="15" customHeight="1" x14ac:dyDescent="0.25">
      <c r="A4" s="82" t="s">
        <v>58</v>
      </c>
      <c r="B4" s="82" t="s">
        <v>102</v>
      </c>
      <c r="C4" s="82" t="s">
        <v>103</v>
      </c>
      <c r="D4" s="87" t="s">
        <v>104</v>
      </c>
      <c r="E4" s="82"/>
      <c r="F4" s="82" t="s">
        <v>105</v>
      </c>
      <c r="G4" s="82" t="s">
        <v>106</v>
      </c>
      <c r="H4" s="82" t="s">
        <v>85</v>
      </c>
      <c r="I4" s="82" t="s">
        <v>107</v>
      </c>
      <c r="J4" s="82" t="s">
        <v>108</v>
      </c>
      <c r="K4" s="82" t="s">
        <v>87</v>
      </c>
      <c r="L4" s="88">
        <v>8500</v>
      </c>
      <c r="M4" s="89">
        <f>IFERROR(L4/INDEX(Companies!$K:$K,MATCH(A4,Companies!$B:$B,0)),"")</f>
        <v>43.589743589743591</v>
      </c>
      <c r="N4" s="82" t="s">
        <v>109</v>
      </c>
      <c r="O4" s="82" t="s">
        <v>110</v>
      </c>
      <c r="P4" s="82" t="s">
        <v>111</v>
      </c>
      <c r="Q4" s="82" t="s">
        <v>91</v>
      </c>
      <c r="R4" s="82" t="s">
        <v>92</v>
      </c>
      <c r="S4" s="10">
        <f>IF($A4="","",COUNTIF($A$2:$A4,$A4))</f>
        <v>3</v>
      </c>
      <c r="U4" s="10" t="str">
        <f>IFERROR(INDEX($C$2:$C$301, SUMPRODUCT((($A$2:$A$301='Payslip Template'!$B$2)*($S$2:$S$300=3))*ROW($A$2:$A$301))-1), "")</f>
        <v/>
      </c>
    </row>
    <row r="5" spans="1:21" ht="15" customHeight="1" x14ac:dyDescent="0.25">
      <c r="A5" s="82" t="s">
        <v>58</v>
      </c>
      <c r="B5" s="82" t="s">
        <v>112</v>
      </c>
      <c r="C5" s="82" t="s">
        <v>10</v>
      </c>
      <c r="D5" s="87" t="s">
        <v>113</v>
      </c>
      <c r="E5" s="82"/>
      <c r="F5" s="82" t="s">
        <v>105</v>
      </c>
      <c r="G5" s="82" t="s">
        <v>97</v>
      </c>
      <c r="H5" s="82" t="s">
        <v>85</v>
      </c>
      <c r="I5" s="82" t="s">
        <v>114</v>
      </c>
      <c r="J5" s="82" t="s">
        <v>115</v>
      </c>
      <c r="K5" s="82" t="s">
        <v>87</v>
      </c>
      <c r="L5" s="88">
        <v>7500</v>
      </c>
      <c r="M5" s="89">
        <f>IFERROR(L5/INDEX(Companies!$K:$K,MATCH(A5,Companies!$B:$B,0)),"")</f>
        <v>38.46153846153846</v>
      </c>
      <c r="N5" s="82" t="s">
        <v>88</v>
      </c>
      <c r="O5" s="82" t="s">
        <v>116</v>
      </c>
      <c r="P5" s="82" t="s">
        <v>90</v>
      </c>
      <c r="Q5" s="82" t="s">
        <v>91</v>
      </c>
      <c r="R5" s="82" t="s">
        <v>92</v>
      </c>
      <c r="S5" s="10">
        <f>IF($A5="","",COUNTIF($A$2:$A5,$A5))</f>
        <v>4</v>
      </c>
      <c r="U5" s="10" t="str">
        <f>IFERROR(INDEX($C$2:$C$301, SUMPRODUCT((($A$2:$A$301='Payslip Template'!$B$2)*($S$2:$S$300=4))*ROW($A$2:$A$301))-1), "")</f>
        <v/>
      </c>
    </row>
    <row r="6" spans="1:21" ht="15" customHeight="1" x14ac:dyDescent="0.25">
      <c r="A6" s="82" t="s">
        <v>58</v>
      </c>
      <c r="B6" s="82" t="s">
        <v>117</v>
      </c>
      <c r="C6" s="82" t="s">
        <v>118</v>
      </c>
      <c r="D6" s="87" t="s">
        <v>119</v>
      </c>
      <c r="E6" s="82"/>
      <c r="F6" s="82" t="s">
        <v>120</v>
      </c>
      <c r="G6" s="82" t="s">
        <v>121</v>
      </c>
      <c r="H6" s="82" t="s">
        <v>85</v>
      </c>
      <c r="I6" s="82" t="s">
        <v>122</v>
      </c>
      <c r="J6" s="82" t="s">
        <v>123</v>
      </c>
      <c r="K6" s="82" t="s">
        <v>87</v>
      </c>
      <c r="L6" s="88">
        <v>12000</v>
      </c>
      <c r="M6" s="89">
        <f>IFERROR(L6/INDEX(Companies!$K:$K,MATCH(A6,Companies!$B:$B,0)),"")</f>
        <v>61.53846153846154</v>
      </c>
      <c r="N6" s="82" t="s">
        <v>100</v>
      </c>
      <c r="O6" s="82" t="s">
        <v>124</v>
      </c>
      <c r="P6" s="82" t="s">
        <v>90</v>
      </c>
      <c r="Q6" s="82" t="s">
        <v>91</v>
      </c>
      <c r="R6" s="82" t="s">
        <v>92</v>
      </c>
      <c r="S6" s="10">
        <f>IF($A6="","",COUNTIF($A$2:$A6,$A6))</f>
        <v>5</v>
      </c>
      <c r="U6" s="10" t="str">
        <f>IFERROR(INDEX($C$2:$C$301, SUMPRODUCT((($A$2:$A$301='Payslip Template'!$B$2)*($S$2:$S$300=5))*ROW($A$2:$A$301))-1), "")</f>
        <v/>
      </c>
    </row>
    <row r="7" spans="1:21" ht="15" customHeight="1" x14ac:dyDescent="0.25">
      <c r="A7" s="82" t="s">
        <v>58</v>
      </c>
      <c r="B7" s="82" t="s">
        <v>125</v>
      </c>
      <c r="C7" s="82" t="s">
        <v>126</v>
      </c>
      <c r="D7" s="87" t="s">
        <v>127</v>
      </c>
      <c r="E7" s="82"/>
      <c r="F7" s="82" t="s">
        <v>128</v>
      </c>
      <c r="G7" s="82" t="s">
        <v>97</v>
      </c>
      <c r="H7" s="82" t="s">
        <v>85</v>
      </c>
      <c r="I7" s="82" t="s">
        <v>129</v>
      </c>
      <c r="J7" s="82" t="s">
        <v>130</v>
      </c>
      <c r="K7" s="82" t="s">
        <v>87</v>
      </c>
      <c r="L7" s="88">
        <v>6500</v>
      </c>
      <c r="M7" s="89">
        <f>IFERROR(L7/INDEX(Companies!$K:$K,MATCH(A7,Companies!$B:$B,0)),"")</f>
        <v>33.333333333333336</v>
      </c>
      <c r="N7" s="82" t="s">
        <v>131</v>
      </c>
      <c r="O7" s="82" t="s">
        <v>132</v>
      </c>
      <c r="P7" s="82" t="s">
        <v>111</v>
      </c>
      <c r="Q7" s="82" t="s">
        <v>91</v>
      </c>
      <c r="R7" s="82" t="s">
        <v>92</v>
      </c>
      <c r="S7" s="10">
        <f>IF($A7="","",COUNTIF($A$2:$A7,$A7))</f>
        <v>6</v>
      </c>
      <c r="U7" s="10" t="str">
        <f>IFERROR(INDEX($C$2:$C$301, SUMPRODUCT((($A$2:$A$301='Payslip Template'!$B$2)*($S$2:$S$300=6))*ROW($A$2:$A$301))-1), "")</f>
        <v/>
      </c>
    </row>
    <row r="8" spans="1:21" ht="15" customHeight="1" x14ac:dyDescent="0.25">
      <c r="A8" s="82" t="s">
        <v>58</v>
      </c>
      <c r="B8" s="82" t="s">
        <v>133</v>
      </c>
      <c r="C8" s="82" t="s">
        <v>134</v>
      </c>
      <c r="D8" s="87" t="s">
        <v>135</v>
      </c>
      <c r="E8" s="82"/>
      <c r="F8" s="82" t="s">
        <v>136</v>
      </c>
      <c r="G8" s="82" t="s">
        <v>84</v>
      </c>
      <c r="H8" s="82" t="s">
        <v>85</v>
      </c>
      <c r="I8" s="82" t="s">
        <v>137</v>
      </c>
      <c r="J8" s="82" t="s">
        <v>138</v>
      </c>
      <c r="K8" s="82" t="s">
        <v>87</v>
      </c>
      <c r="L8" s="88">
        <v>7000</v>
      </c>
      <c r="M8" s="89">
        <f>IFERROR(L8/INDEX(Companies!$K:$K,MATCH(A8,Companies!$B:$B,0)),"")</f>
        <v>35.897435897435898</v>
      </c>
      <c r="N8" s="82" t="s">
        <v>88</v>
      </c>
      <c r="O8" s="82" t="s">
        <v>139</v>
      </c>
      <c r="P8" s="82" t="s">
        <v>90</v>
      </c>
      <c r="Q8" s="82" t="s">
        <v>91</v>
      </c>
      <c r="R8" s="82" t="s">
        <v>92</v>
      </c>
      <c r="S8" s="10">
        <f>IF($A8="","",COUNTIF($A$2:$A8,$A8))</f>
        <v>7</v>
      </c>
      <c r="U8" s="10" t="str">
        <f>IFERROR(INDEX($C$2:$C$301, SUMPRODUCT((($A$2:$A$301='Payslip Template'!$B$2)*($S$2:$S$300=7))*ROW($A$2:$A$301))-1), "")</f>
        <v/>
      </c>
    </row>
    <row r="9" spans="1:21" ht="15" customHeight="1" x14ac:dyDescent="0.25">
      <c r="A9" s="90" t="s">
        <v>4</v>
      </c>
      <c r="B9" s="82" t="s">
        <v>140</v>
      </c>
      <c r="C9" s="10" t="s">
        <v>141</v>
      </c>
      <c r="D9" s="85" t="s">
        <v>142</v>
      </c>
      <c r="F9" s="10" t="s">
        <v>143</v>
      </c>
      <c r="G9" s="10" t="s">
        <v>144</v>
      </c>
      <c r="H9" s="10" t="s">
        <v>145</v>
      </c>
      <c r="I9" s="10" t="s">
        <v>146</v>
      </c>
      <c r="J9" s="91" t="s">
        <v>147</v>
      </c>
      <c r="K9" s="90" t="s">
        <v>87</v>
      </c>
      <c r="L9" s="92">
        <v>5894.4</v>
      </c>
      <c r="M9" s="89">
        <f>IFERROR(L9/INDEX(Companies!$K:$K,MATCH(A9,Companies!$B:$B,0)),"")</f>
        <v>30.227692307692305</v>
      </c>
      <c r="N9" s="10" t="s">
        <v>131</v>
      </c>
      <c r="P9" s="90" t="s">
        <v>111</v>
      </c>
      <c r="Q9" s="90" t="s">
        <v>91</v>
      </c>
      <c r="R9" s="90" t="s">
        <v>92</v>
      </c>
      <c r="S9" s="10">
        <f>IF($A9="","",COUNTIF($A$2:$A9,$A9))</f>
        <v>1</v>
      </c>
      <c r="U9" s="10" t="str">
        <f>IFERROR(INDEX($C$2:$C$301, SUMPRODUCT((($A$2:$A$301='Payslip Template'!$B$2)*($S$2:$S$300=8))*ROW($A$2:$A$301))-1), "")</f>
        <v/>
      </c>
    </row>
    <row r="10" spans="1:21" ht="15" customHeight="1" x14ac:dyDescent="0.25">
      <c r="A10" s="90" t="s">
        <v>4</v>
      </c>
      <c r="B10" s="82" t="s">
        <v>148</v>
      </c>
      <c r="C10" s="10" t="s">
        <v>149</v>
      </c>
      <c r="D10" s="85" t="s">
        <v>150</v>
      </c>
      <c r="F10" s="10" t="s">
        <v>151</v>
      </c>
      <c r="G10" s="10" t="s">
        <v>144</v>
      </c>
      <c r="H10" s="10" t="s">
        <v>152</v>
      </c>
      <c r="J10" s="91"/>
      <c r="K10" s="90" t="s">
        <v>87</v>
      </c>
      <c r="L10" s="92">
        <v>5894.4</v>
      </c>
      <c r="M10" s="89">
        <f>IFERROR(L10/INDEX(Companies!$K:$K,MATCH(A10,Companies!$B:$B,0)),"")</f>
        <v>30.227692307692305</v>
      </c>
      <c r="N10" s="10" t="s">
        <v>131</v>
      </c>
      <c r="O10" s="10">
        <v>11354626272</v>
      </c>
      <c r="P10" s="90" t="s">
        <v>111</v>
      </c>
      <c r="Q10" s="90" t="s">
        <v>91</v>
      </c>
      <c r="R10" s="90" t="s">
        <v>92</v>
      </c>
      <c r="S10" s="10">
        <f>IF($A10="","",COUNTIF($A$2:$A11,$A10))</f>
        <v>3</v>
      </c>
      <c r="U10" s="10" t="str">
        <f>IFERROR(INDEX($C$2:$C$301, SUMPRODUCT((($A$2:$A$301='Payslip Template'!$B$2)*($S$2:$S$300=9))*ROW($A$2:$A$301))-1), "")</f>
        <v/>
      </c>
    </row>
    <row r="11" spans="1:21" ht="15" customHeight="1" x14ac:dyDescent="0.25">
      <c r="A11" s="90" t="s">
        <v>4</v>
      </c>
      <c r="B11" s="82" t="s">
        <v>230</v>
      </c>
      <c r="C11" s="10" t="s">
        <v>231</v>
      </c>
      <c r="D11" s="85" t="s">
        <v>232</v>
      </c>
      <c r="F11" s="10" t="s">
        <v>233</v>
      </c>
      <c r="G11" s="10" t="s">
        <v>144</v>
      </c>
      <c r="H11" s="10" t="s">
        <v>234</v>
      </c>
      <c r="I11" s="10" t="s">
        <v>235</v>
      </c>
      <c r="J11" s="109" t="s">
        <v>236</v>
      </c>
      <c r="K11" s="90" t="s">
        <v>204</v>
      </c>
      <c r="L11" s="92">
        <v>1090.365</v>
      </c>
      <c r="M11" s="89">
        <v>27.78</v>
      </c>
      <c r="N11" s="10" t="s">
        <v>131</v>
      </c>
      <c r="O11" s="10">
        <v>1818845189</v>
      </c>
      <c r="P11" s="90" t="s">
        <v>111</v>
      </c>
      <c r="Q11" s="90" t="s">
        <v>91</v>
      </c>
      <c r="R11" s="90" t="s">
        <v>207</v>
      </c>
      <c r="S11" s="10" t="str">
        <f>IF($A12="","",COUNTIF($A$2:$A12,$A12))</f>
        <v/>
      </c>
      <c r="U11" s="10" t="str">
        <f>IFERROR(INDEX($C$2:$C$301, SUMPRODUCT((($A$2:$A$301='Payslip Template'!$B$2)*($S$2:$S$300=10))*ROW($A$2:$A$301))-1), "")</f>
        <v/>
      </c>
    </row>
    <row r="12" spans="1:21" ht="15" customHeight="1" x14ac:dyDescent="0.25">
      <c r="A12" s="90"/>
      <c r="K12" s="90"/>
      <c r="M12" s="93" t="str">
        <f>IFERROR(L12/INDEX(Companies!$K:$K,MATCH(A12,Companies!$B:$B,0)),"")</f>
        <v/>
      </c>
      <c r="P12" s="90"/>
      <c r="Q12" s="90"/>
      <c r="R12" s="90"/>
      <c r="S12" s="10" t="str">
        <f>IF($A13="","",COUNTIF($A$2:$A13,$A13))</f>
        <v/>
      </c>
      <c r="U12" s="10" t="str">
        <f>IFERROR(INDEX($C$2:$C$301, SUMPRODUCT((($A$2:$A$301='Payslip Template'!$B$2)*($S$2:$S$300=11))*ROW($A$2:$A$301))-1), "")</f>
        <v/>
      </c>
    </row>
    <row r="13" spans="1:21" ht="15" customHeight="1" x14ac:dyDescent="0.25">
      <c r="A13" s="90"/>
      <c r="K13" s="90"/>
      <c r="M13" s="93" t="str">
        <f>IFERROR(L13/INDEX(Companies!$K:$K,MATCH(A13,Companies!$B:$B,0)),"")</f>
        <v/>
      </c>
      <c r="P13" s="90"/>
      <c r="Q13" s="90"/>
      <c r="R13" s="90"/>
      <c r="S13" s="10" t="str">
        <f>IF($A14="","",COUNTIF($A$2:$A14,$A14))</f>
        <v/>
      </c>
      <c r="U13" s="10" t="str">
        <f>IFERROR(INDEX($C$2:$C$301, SUMPRODUCT((($A$2:$A$301='Payslip Template'!$B$2)*($S$2:$S$300=12))*ROW($A$2:$A$301))-1), "")</f>
        <v/>
      </c>
    </row>
    <row r="14" spans="1:21" ht="15" customHeight="1" x14ac:dyDescent="0.25">
      <c r="A14" s="90"/>
      <c r="K14" s="90"/>
      <c r="M14" s="93" t="str">
        <f>IFERROR(L14/INDEX(Companies!$K:$K,MATCH(A14,Companies!$B:$B,0)),"")</f>
        <v/>
      </c>
      <c r="P14" s="90"/>
      <c r="Q14" s="90"/>
      <c r="R14" s="90"/>
      <c r="S14" s="10" t="str">
        <f>IF($A15="","",COUNTIF($A$2:$A15,$A15))</f>
        <v/>
      </c>
      <c r="U14" s="10" t="str">
        <f>IFERROR(INDEX($C$2:$C$301, SUMPRODUCT((($A$2:$A$301='Payslip Template'!$B$2)*($S$2:$S$300=13))*ROW($A$2:$A$301))-1), "")</f>
        <v/>
      </c>
    </row>
    <row r="15" spans="1:21" ht="15" customHeight="1" x14ac:dyDescent="0.25">
      <c r="A15" s="90"/>
      <c r="K15" s="90"/>
      <c r="M15" s="93" t="str">
        <f>IFERROR(L15/INDEX(Companies!$K:$K,MATCH(A15,Companies!$B:$B,0)),"")</f>
        <v/>
      </c>
      <c r="P15" s="90"/>
      <c r="Q15" s="90"/>
      <c r="R15" s="90"/>
      <c r="S15" s="10" t="str">
        <f>IF($A16="","",COUNTIF($A$2:$A16,$A16))</f>
        <v/>
      </c>
      <c r="U15" s="10" t="str">
        <f>IFERROR(INDEX($C$2:$C$301, SUMPRODUCT((($A$2:$A$301='Payslip Template'!$B$2)*($S$2:$S$300=14))*ROW($A$2:$A$301))-1), "")</f>
        <v/>
      </c>
    </row>
    <row r="16" spans="1:21" ht="15" customHeight="1" x14ac:dyDescent="0.25">
      <c r="A16" s="90"/>
      <c r="K16" s="90"/>
      <c r="M16" s="93" t="str">
        <f>IFERROR(L16/INDEX(Companies!$K:$K,MATCH(A16,Companies!$B:$B,0)),"")</f>
        <v/>
      </c>
      <c r="P16" s="90"/>
      <c r="Q16" s="90"/>
      <c r="R16" s="90"/>
      <c r="S16" s="10" t="str">
        <f>IF($A17="","",COUNTIF($A$2:$A17,$A17))</f>
        <v/>
      </c>
      <c r="U16" s="10" t="str">
        <f>IFERROR(INDEX($C$2:$C$301, SUMPRODUCT((($A$2:$A$301='Payslip Template'!$B$2)*($S$2:$S$300=15))*ROW($A$2:$A$301))-1), "")</f>
        <v/>
      </c>
    </row>
    <row r="17" spans="1:21" ht="15" customHeight="1" x14ac:dyDescent="0.25">
      <c r="A17" s="90"/>
      <c r="K17" s="90"/>
      <c r="M17" s="93" t="str">
        <f>IFERROR(L17/INDEX(Companies!$K:$K,MATCH(A17,Companies!$B:$B,0)),"")</f>
        <v/>
      </c>
      <c r="P17" s="90"/>
      <c r="Q17" s="90"/>
      <c r="R17" s="90"/>
      <c r="S17" s="10" t="str">
        <f>IF($A18="","",COUNTIF($A$2:$A18,$A18))</f>
        <v/>
      </c>
      <c r="U17" s="10" t="str">
        <f>IFERROR(INDEX($C$2:$C$301, SUMPRODUCT((($A$2:$A$301='Payslip Template'!$B$2)*($S$2:$S$300=16))*ROW($A$2:$A$301))-1), "")</f>
        <v/>
      </c>
    </row>
    <row r="18" spans="1:21" ht="15" customHeight="1" x14ac:dyDescent="0.25">
      <c r="A18" s="90"/>
      <c r="K18" s="90"/>
      <c r="M18" s="93" t="str">
        <f>IFERROR(L18/INDEX(Companies!$K:$K,MATCH(A18,Companies!$B:$B,0)),"")</f>
        <v/>
      </c>
      <c r="P18" s="90"/>
      <c r="Q18" s="90"/>
      <c r="R18" s="90"/>
      <c r="S18" s="10" t="str">
        <f>IF($A19="","",COUNTIF($A$2:$A19,$A19))</f>
        <v/>
      </c>
      <c r="U18" s="10" t="str">
        <f>IFERROR(INDEX($C$2:$C$301, SUMPRODUCT((($A$2:$A$301='Payslip Template'!$B$2)*($S$2:$S$300=17))*ROW($A$2:$A$301))-1), "")</f>
        <v/>
      </c>
    </row>
    <row r="19" spans="1:21" ht="15" customHeight="1" x14ac:dyDescent="0.25">
      <c r="A19" s="90"/>
      <c r="K19" s="90"/>
      <c r="M19" s="93" t="str">
        <f>IFERROR(L19/INDEX(Companies!$K:$K,MATCH(A19,Companies!$B:$B,0)),"")</f>
        <v/>
      </c>
      <c r="P19" s="90"/>
      <c r="Q19" s="90"/>
      <c r="R19" s="90"/>
      <c r="S19" s="10" t="str">
        <f>IF($A20="","",COUNTIF($A$2:$A20,$A20))</f>
        <v/>
      </c>
      <c r="U19" s="10" t="str">
        <f>IFERROR(INDEX($C$2:$C$301, SUMPRODUCT((($A$2:$A$301='Payslip Template'!$B$2)*($S$2:$S$300=18))*ROW($A$2:$A$301))-1), "")</f>
        <v/>
      </c>
    </row>
    <row r="20" spans="1:21" ht="15" customHeight="1" x14ac:dyDescent="0.25">
      <c r="A20" s="90"/>
      <c r="K20" s="90"/>
      <c r="M20" s="93" t="str">
        <f>IFERROR(L20/INDEX(Companies!$K:$K,MATCH(A20,Companies!$B:$B,0)),"")</f>
        <v/>
      </c>
      <c r="P20" s="90"/>
      <c r="Q20" s="90"/>
      <c r="R20" s="90"/>
      <c r="S20" s="10" t="str">
        <f>IF($A21="","",COUNTIF($A$2:$A21,$A21))</f>
        <v/>
      </c>
      <c r="U20" s="10" t="str">
        <f>IFERROR(INDEX($C$2:$C$301, SUMPRODUCT((($A$2:$A$301='Payslip Template'!$B$2)*($S$2:$S$300=19))*ROW($A$2:$A$301))-1), "")</f>
        <v/>
      </c>
    </row>
    <row r="21" spans="1:21" ht="15" customHeight="1" x14ac:dyDescent="0.25">
      <c r="A21" s="90"/>
      <c r="K21" s="90"/>
      <c r="M21" s="93" t="str">
        <f>IFERROR(L21/INDEX(Companies!$K:$K,MATCH(A21,Companies!$B:$B,0)),"")</f>
        <v/>
      </c>
      <c r="P21" s="90"/>
      <c r="Q21" s="90"/>
      <c r="R21" s="90"/>
      <c r="S21" s="10" t="str">
        <f>IF($A22="","",COUNTIF($A$2:$A22,$A22))</f>
        <v/>
      </c>
      <c r="U21" s="10" t="str">
        <f>IFERROR(INDEX($C$2:$C$301, SUMPRODUCT((($A$2:$A$301='Payslip Template'!$B$2)*($S$2:$S$300=20))*ROW($A$2:$A$301))-1), "")</f>
        <v/>
      </c>
    </row>
    <row r="22" spans="1:21" ht="15" customHeight="1" x14ac:dyDescent="0.25">
      <c r="A22" s="90"/>
      <c r="K22" s="90"/>
      <c r="M22" s="93" t="str">
        <f>IFERROR(L22/INDEX(Companies!$K:$K,MATCH(A22,Companies!$B:$B,0)),"")</f>
        <v/>
      </c>
      <c r="P22" s="90"/>
      <c r="Q22" s="90"/>
      <c r="R22" s="90"/>
      <c r="S22" s="10" t="str">
        <f>IF($A23="","",COUNTIF($A$2:$A23,$A23))</f>
        <v/>
      </c>
      <c r="U22" s="10" t="str">
        <f>IFERROR(INDEX($C$2:$C$301, SUMPRODUCT((($A$2:$A$301='Payslip Template'!$B$2)*($S$2:$S$300=21))*ROW($A$2:$A$301))-1), "")</f>
        <v/>
      </c>
    </row>
    <row r="23" spans="1:21" ht="15" customHeight="1" x14ac:dyDescent="0.25">
      <c r="A23" s="90"/>
      <c r="K23" s="90"/>
      <c r="M23" s="93" t="str">
        <f>IFERROR(L23/INDEX(Companies!$K:$K,MATCH(A23,Companies!$B:$B,0)),"")</f>
        <v/>
      </c>
      <c r="P23" s="90"/>
      <c r="Q23" s="90"/>
      <c r="R23" s="90"/>
      <c r="S23" s="10" t="str">
        <f>IF($A24="","",COUNTIF($A$2:$A24,$A24))</f>
        <v/>
      </c>
      <c r="U23" s="10" t="str">
        <f>IFERROR(INDEX($C$2:$C$301, SUMPRODUCT((($A$2:$A$301='Payslip Template'!$B$2)*($S$2:$S$300=22))*ROW($A$2:$A$301))-1), "")</f>
        <v/>
      </c>
    </row>
    <row r="24" spans="1:21" ht="15" customHeight="1" x14ac:dyDescent="0.25">
      <c r="A24" s="90"/>
      <c r="K24" s="90"/>
      <c r="M24" s="93" t="str">
        <f>IFERROR(L24/INDEX(Companies!$K:$K,MATCH(A24,Companies!$B:$B,0)),"")</f>
        <v/>
      </c>
      <c r="P24" s="90"/>
      <c r="Q24" s="90"/>
      <c r="R24" s="90"/>
      <c r="S24" s="10" t="str">
        <f>IF($A25="","",COUNTIF($A$2:$A25,$A25))</f>
        <v/>
      </c>
      <c r="U24" s="10" t="str">
        <f>IFERROR(INDEX($C$2:$C$301, SUMPRODUCT((($A$2:$A$301='Payslip Template'!$B$2)*($S$2:$S$300=23))*ROW($A$2:$A$301))-1), "")</f>
        <v/>
      </c>
    </row>
    <row r="25" spans="1:21" ht="15" customHeight="1" x14ac:dyDescent="0.25">
      <c r="A25" s="90"/>
      <c r="K25" s="90"/>
      <c r="M25" s="93" t="str">
        <f>IFERROR(L25/INDEX(Companies!$K:$K,MATCH(A25,Companies!$B:$B,0)),"")</f>
        <v/>
      </c>
      <c r="P25" s="90"/>
      <c r="Q25" s="90"/>
      <c r="R25" s="90"/>
      <c r="S25" s="10" t="str">
        <f>IF($A26="","",COUNTIF($A$2:$A26,$A26))</f>
        <v/>
      </c>
      <c r="U25" s="10" t="str">
        <f>IFERROR(INDEX($C$2:$C$301, SUMPRODUCT((($A$2:$A$301='Payslip Template'!$B$2)*($S$2:$S$300=24))*ROW($A$2:$A$301))-1), "")</f>
        <v/>
      </c>
    </row>
    <row r="26" spans="1:21" ht="15" customHeight="1" x14ac:dyDescent="0.25">
      <c r="A26" s="90"/>
      <c r="K26" s="90"/>
      <c r="M26" s="93" t="str">
        <f>IFERROR(L26/INDEX(Companies!$K:$K,MATCH(A26,Companies!$B:$B,0)),"")</f>
        <v/>
      </c>
      <c r="P26" s="90"/>
      <c r="Q26" s="90"/>
      <c r="R26" s="90"/>
      <c r="S26" s="10" t="str">
        <f>IF($A27="","",COUNTIF($A$2:$A27,$A27))</f>
        <v/>
      </c>
      <c r="U26" s="10" t="str">
        <f>IFERROR(INDEX($C$2:$C$301, SUMPRODUCT((($A$2:$A$301='Payslip Template'!$B$2)*($S$2:$S$300=25))*ROW($A$2:$A$301))-1), "")</f>
        <v/>
      </c>
    </row>
    <row r="27" spans="1:21" ht="15" customHeight="1" x14ac:dyDescent="0.25">
      <c r="A27" s="90"/>
      <c r="K27" s="90"/>
      <c r="M27" s="93" t="str">
        <f>IFERROR(L27/INDEX(Companies!$K:$K,MATCH(A27,Companies!$B:$B,0)),"")</f>
        <v/>
      </c>
      <c r="P27" s="90"/>
      <c r="Q27" s="90"/>
      <c r="R27" s="90"/>
      <c r="S27" s="10" t="str">
        <f>IF($A28="","",COUNTIF($A$2:$A28,$A28))</f>
        <v/>
      </c>
      <c r="U27" s="10" t="str">
        <f>IFERROR(INDEX($C$2:$C$301, SUMPRODUCT((($A$2:$A$301='Payslip Template'!$B$2)*($S$2:$S$300=26))*ROW($A$2:$A$301))-1), "")</f>
        <v/>
      </c>
    </row>
    <row r="28" spans="1:21" ht="15" customHeight="1" x14ac:dyDescent="0.25">
      <c r="A28" s="90"/>
      <c r="K28" s="90"/>
      <c r="M28" s="93" t="str">
        <f>IFERROR(L28/INDEX(Companies!$K:$K,MATCH(A28,Companies!$B:$B,0)),"")</f>
        <v/>
      </c>
      <c r="P28" s="90"/>
      <c r="Q28" s="90"/>
      <c r="R28" s="90"/>
      <c r="S28" s="10" t="str">
        <f>IF($A29="","",COUNTIF($A$2:$A29,$A29))</f>
        <v/>
      </c>
      <c r="U28" s="10" t="str">
        <f>IFERROR(INDEX($C$2:$C$301, SUMPRODUCT((($A$2:$A$301='Payslip Template'!$B$2)*($S$2:$S$300=27))*ROW($A$2:$A$301))-1), "")</f>
        <v/>
      </c>
    </row>
    <row r="29" spans="1:21" ht="15" customHeight="1" x14ac:dyDescent="0.25">
      <c r="A29" s="90"/>
      <c r="K29" s="90"/>
      <c r="M29" s="93" t="str">
        <f>IFERROR(L29/INDEX(Companies!$K:$K,MATCH(A29,Companies!$B:$B,0)),"")</f>
        <v/>
      </c>
      <c r="P29" s="90"/>
      <c r="Q29" s="90"/>
      <c r="R29" s="90"/>
      <c r="S29" s="10" t="str">
        <f>IF($A30="","",COUNTIF($A$2:$A30,$A30))</f>
        <v/>
      </c>
      <c r="U29" s="10" t="str">
        <f>IFERROR(INDEX($C$2:$C$301, SUMPRODUCT((($A$2:$A$301='Payslip Template'!$B$2)*($S$2:$S$300=28))*ROW($A$2:$A$301))-1), "")</f>
        <v/>
      </c>
    </row>
    <row r="30" spans="1:21" ht="15" customHeight="1" x14ac:dyDescent="0.25">
      <c r="A30" s="90"/>
      <c r="K30" s="90"/>
      <c r="M30" s="93" t="str">
        <f>IFERROR(L30/INDEX(Companies!$K:$K,MATCH(A30,Companies!$B:$B,0)),"")</f>
        <v/>
      </c>
      <c r="P30" s="90"/>
      <c r="Q30" s="90"/>
      <c r="R30" s="90"/>
      <c r="S30" s="10" t="str">
        <f>IF($A31="","",COUNTIF($A$2:$A31,$A31))</f>
        <v/>
      </c>
      <c r="U30" s="10" t="str">
        <f>IFERROR(INDEX($C$2:$C$301, SUMPRODUCT((($A$2:$A$301='Payslip Template'!$B$2)*($S$2:$S$300=29))*ROW($A$2:$A$301))-1), "")</f>
        <v/>
      </c>
    </row>
    <row r="31" spans="1:21" ht="15" customHeight="1" x14ac:dyDescent="0.25">
      <c r="A31" s="90"/>
      <c r="K31" s="90"/>
      <c r="M31" s="93" t="str">
        <f>IFERROR(L31/INDEX(Companies!$K:$K,MATCH(A31,Companies!$B:$B,0)),"")</f>
        <v/>
      </c>
      <c r="P31" s="90"/>
      <c r="Q31" s="90"/>
      <c r="R31" s="90"/>
      <c r="S31" s="10" t="str">
        <f>IF($A32="","",COUNTIF($A$2:$A32,$A32))</f>
        <v/>
      </c>
      <c r="U31" s="10" t="str">
        <f>IFERROR(INDEX($C$2:$C$301, SUMPRODUCT((($A$2:$A$301='Payslip Template'!$B$2)*($S$2:$S$300=30))*ROW($A$2:$A$301))-1), "")</f>
        <v/>
      </c>
    </row>
    <row r="32" spans="1:21" ht="15" customHeight="1" x14ac:dyDescent="0.25">
      <c r="A32" s="90"/>
      <c r="K32" s="90"/>
      <c r="M32" s="93" t="str">
        <f>IFERROR(L32/INDEX(Companies!$K:$K,MATCH(A32,Companies!$B:$B,0)),"")</f>
        <v/>
      </c>
      <c r="P32" s="90"/>
      <c r="Q32" s="90"/>
      <c r="R32" s="90"/>
      <c r="S32" s="10" t="str">
        <f>IF($A33="","",COUNTIF($A$2:$A33,$A33))</f>
        <v/>
      </c>
      <c r="U32" s="10" t="str">
        <f>IFERROR(INDEX($C$2:$C$301, SUMPRODUCT((($A$2:$A$301='Payslip Template'!$B$2)*($S$2:$S$300=31))*ROW($A$2:$A$301))-1), "")</f>
        <v/>
      </c>
    </row>
    <row r="33" spans="1:21" ht="15" customHeight="1" x14ac:dyDescent="0.25">
      <c r="A33" s="90"/>
      <c r="K33" s="90"/>
      <c r="M33" s="93" t="str">
        <f>IFERROR(L33/INDEX(Companies!$K:$K,MATCH(A33,Companies!$B:$B,0)),"")</f>
        <v/>
      </c>
      <c r="P33" s="90"/>
      <c r="Q33" s="90"/>
      <c r="R33" s="90"/>
      <c r="S33" s="10" t="str">
        <f>IF($A34="","",COUNTIF($A$2:$A34,$A34))</f>
        <v/>
      </c>
      <c r="U33" s="10" t="str">
        <f>IFERROR(INDEX($C$2:$C$301, SUMPRODUCT((($A$2:$A$301='Payslip Template'!$B$2)*($S$2:$S$300=32))*ROW($A$2:$A$301))-1), "")</f>
        <v/>
      </c>
    </row>
    <row r="34" spans="1:21" ht="15" customHeight="1" x14ac:dyDescent="0.25">
      <c r="A34" s="90"/>
      <c r="K34" s="90"/>
      <c r="M34" s="93" t="str">
        <f>IFERROR(L34/INDEX(Companies!$K:$K,MATCH(A34,Companies!$B:$B,0)),"")</f>
        <v/>
      </c>
      <c r="P34" s="90"/>
      <c r="Q34" s="90"/>
      <c r="R34" s="90"/>
      <c r="S34" s="10" t="str">
        <f>IF($A35="","",COUNTIF($A$2:$A35,$A35))</f>
        <v/>
      </c>
      <c r="U34" s="10" t="str">
        <f>IFERROR(INDEX($C$2:$C$301, SUMPRODUCT((($A$2:$A$301='Payslip Template'!$B$2)*($S$2:$S$300=33))*ROW($A$2:$A$301))-1), "")</f>
        <v/>
      </c>
    </row>
    <row r="35" spans="1:21" ht="15" customHeight="1" x14ac:dyDescent="0.25">
      <c r="A35" s="90"/>
      <c r="K35" s="90"/>
      <c r="M35" s="93" t="str">
        <f>IFERROR(L35/INDEX(Companies!$K:$K,MATCH(A35,Companies!$B:$B,0)),"")</f>
        <v/>
      </c>
      <c r="P35" s="90"/>
      <c r="Q35" s="90"/>
      <c r="R35" s="90"/>
      <c r="S35" s="10" t="str">
        <f>IF($A36="","",COUNTIF($A$2:$A36,$A36))</f>
        <v/>
      </c>
      <c r="U35" s="10" t="str">
        <f>IFERROR(INDEX($C$2:$C$301, SUMPRODUCT((($A$2:$A$301='Payslip Template'!$B$2)*($S$2:$S$300=34))*ROW($A$2:$A$301))-1), "")</f>
        <v/>
      </c>
    </row>
    <row r="36" spans="1:21" ht="15" customHeight="1" x14ac:dyDescent="0.25">
      <c r="A36" s="90"/>
      <c r="K36" s="90"/>
      <c r="M36" s="93" t="str">
        <f>IFERROR(L36/INDEX(Companies!$K:$K,MATCH(A36,Companies!$B:$B,0)),"")</f>
        <v/>
      </c>
      <c r="P36" s="90"/>
      <c r="Q36" s="90"/>
      <c r="R36" s="90"/>
      <c r="S36" s="10" t="str">
        <f>IF($A37="","",COUNTIF($A$2:$A37,$A37))</f>
        <v/>
      </c>
      <c r="U36" s="10" t="str">
        <f>IFERROR(INDEX($C$2:$C$301, SUMPRODUCT((($A$2:$A$301='Payslip Template'!$B$2)*($S$2:$S$300=35))*ROW($A$2:$A$301))-1), "")</f>
        <v/>
      </c>
    </row>
    <row r="37" spans="1:21" ht="15" customHeight="1" x14ac:dyDescent="0.25">
      <c r="A37" s="90"/>
      <c r="K37" s="90"/>
      <c r="M37" s="93" t="str">
        <f>IFERROR(L37/INDEX(Companies!$K:$K,MATCH(A37,Companies!$B:$B,0)),"")</f>
        <v/>
      </c>
      <c r="P37" s="90"/>
      <c r="Q37" s="90"/>
      <c r="R37" s="90"/>
      <c r="S37" s="10" t="str">
        <f>IF($A38="","",COUNTIF($A$2:$A38,$A38))</f>
        <v/>
      </c>
      <c r="U37" s="10" t="str">
        <f>IFERROR(INDEX($C$2:$C$301, SUMPRODUCT((($A$2:$A$301='Payslip Template'!$B$2)*($S$2:$S$300=36))*ROW($A$2:$A$301))-1), "")</f>
        <v/>
      </c>
    </row>
    <row r="38" spans="1:21" ht="15" customHeight="1" x14ac:dyDescent="0.25">
      <c r="A38" s="90"/>
      <c r="K38" s="90"/>
      <c r="M38" s="93" t="str">
        <f>IFERROR(L38/INDEX(Companies!$K:$K,MATCH(A38,Companies!$B:$B,0)),"")</f>
        <v/>
      </c>
      <c r="P38" s="90"/>
      <c r="Q38" s="90"/>
      <c r="R38" s="90"/>
      <c r="S38" s="10" t="str">
        <f>IF($A39="","",COUNTIF($A$2:$A39,$A39))</f>
        <v/>
      </c>
      <c r="U38" s="10" t="str">
        <f>IFERROR(INDEX($C$2:$C$301, SUMPRODUCT((($A$2:$A$301='Payslip Template'!$B$2)*($S$2:$S$300=37))*ROW($A$2:$A$301))-1), "")</f>
        <v/>
      </c>
    </row>
    <row r="39" spans="1:21" ht="15" customHeight="1" x14ac:dyDescent="0.25">
      <c r="A39" s="90"/>
      <c r="K39" s="90"/>
      <c r="M39" s="93" t="str">
        <f>IFERROR(L39/INDEX(Companies!$K:$K,MATCH(A39,Companies!$B:$B,0)),"")</f>
        <v/>
      </c>
      <c r="P39" s="90"/>
      <c r="Q39" s="90"/>
      <c r="R39" s="90"/>
      <c r="S39" s="10" t="str">
        <f>IF($A40="","",COUNTIF($A$2:$A40,$A40))</f>
        <v/>
      </c>
      <c r="U39" s="10" t="str">
        <f>IFERROR(INDEX($C$2:$C$301, SUMPRODUCT((($A$2:$A$301='Payslip Template'!$B$2)*($S$2:$S$300=38))*ROW($A$2:$A$301))-1), "")</f>
        <v/>
      </c>
    </row>
    <row r="40" spans="1:21" ht="15" customHeight="1" x14ac:dyDescent="0.25">
      <c r="A40" s="90"/>
      <c r="K40" s="90"/>
      <c r="M40" s="93" t="str">
        <f>IFERROR(L40/INDEX(Companies!$K:$K,MATCH(A40,Companies!$B:$B,0)),"")</f>
        <v/>
      </c>
      <c r="P40" s="90"/>
      <c r="Q40" s="90"/>
      <c r="R40" s="90"/>
      <c r="S40" s="10" t="str">
        <f>IF($A41="","",COUNTIF($A$2:$A41,$A41))</f>
        <v/>
      </c>
      <c r="U40" s="10" t="str">
        <f>IFERROR(INDEX($C$2:$C$301, SUMPRODUCT((($A$2:$A$301='Payslip Template'!$B$2)*($S$2:$S$300=39))*ROW($A$2:$A$301))-1), "")</f>
        <v/>
      </c>
    </row>
    <row r="41" spans="1:21" ht="15" customHeight="1" x14ac:dyDescent="0.25">
      <c r="A41" s="90"/>
      <c r="K41" s="90"/>
      <c r="M41" s="93" t="str">
        <f>IFERROR(L41/INDEX(Companies!$K:$K,MATCH(A41,Companies!$B:$B,0)),"")</f>
        <v/>
      </c>
      <c r="P41" s="90"/>
      <c r="Q41" s="90"/>
      <c r="R41" s="90"/>
      <c r="S41" s="10" t="str">
        <f>IF($A42="","",COUNTIF($A$2:$A42,$A42))</f>
        <v/>
      </c>
      <c r="U41" s="10" t="str">
        <f>IFERROR(INDEX($C$2:$C$301, SUMPRODUCT((($A$2:$A$301='Payslip Template'!$B$2)*($S$2:$S$300=40))*ROW($A$2:$A$301))-1), "")</f>
        <v/>
      </c>
    </row>
    <row r="42" spans="1:21" ht="15" customHeight="1" x14ac:dyDescent="0.25">
      <c r="A42" s="90"/>
      <c r="K42" s="90"/>
      <c r="M42" s="93" t="str">
        <f>IFERROR(L42/INDEX(Companies!$K:$K,MATCH(A42,Companies!$B:$B,0)),"")</f>
        <v/>
      </c>
      <c r="P42" s="90"/>
      <c r="Q42" s="90"/>
      <c r="R42" s="90"/>
      <c r="S42" s="10" t="str">
        <f>IF($A43="","",COUNTIF($A$2:$A43,$A43))</f>
        <v/>
      </c>
      <c r="U42" s="10" t="str">
        <f>IFERROR(INDEX($C$2:$C$301, SUMPRODUCT((($A$2:$A$301='Payslip Template'!$B$2)*($S$2:$S$300=41))*ROW($A$2:$A$301))-1), "")</f>
        <v/>
      </c>
    </row>
    <row r="43" spans="1:21" ht="15" customHeight="1" x14ac:dyDescent="0.25">
      <c r="A43" s="90"/>
      <c r="K43" s="90"/>
      <c r="M43" s="93" t="str">
        <f>IFERROR(L43/INDEX(Companies!$K:$K,MATCH(A43,Companies!$B:$B,0)),"")</f>
        <v/>
      </c>
      <c r="P43" s="90"/>
      <c r="Q43" s="90"/>
      <c r="R43" s="90"/>
      <c r="S43" s="10" t="str">
        <f>IF($A44="","",COUNTIF($A$2:$A44,$A44))</f>
        <v/>
      </c>
      <c r="U43" s="10" t="str">
        <f>IFERROR(INDEX($C$2:$C$301, SUMPRODUCT((($A$2:$A$301='Payslip Template'!$B$2)*($S$2:$S$300=42))*ROW($A$2:$A$301))-1), "")</f>
        <v/>
      </c>
    </row>
    <row r="44" spans="1:21" ht="15" customHeight="1" x14ac:dyDescent="0.25">
      <c r="A44" s="90"/>
      <c r="K44" s="90"/>
      <c r="M44" s="93" t="str">
        <f>IFERROR(L44/INDEX(Companies!$K:$K,MATCH(A44,Companies!$B:$B,0)),"")</f>
        <v/>
      </c>
      <c r="P44" s="90"/>
      <c r="Q44" s="90"/>
      <c r="R44" s="90"/>
      <c r="S44" s="10" t="str">
        <f>IF($A45="","",COUNTIF($A$2:$A45,$A45))</f>
        <v/>
      </c>
      <c r="U44" s="10" t="str">
        <f>IFERROR(INDEX($C$2:$C$301, SUMPRODUCT((($A$2:$A$301='Payslip Template'!$B$2)*($S$2:$S$300=43))*ROW($A$2:$A$301))-1), "")</f>
        <v/>
      </c>
    </row>
    <row r="45" spans="1:21" ht="15" customHeight="1" x14ac:dyDescent="0.25">
      <c r="A45" s="90"/>
      <c r="K45" s="90"/>
      <c r="M45" s="93" t="str">
        <f>IFERROR(L45/INDEX(Companies!$K:$K,MATCH(A45,Companies!$B:$B,0)),"")</f>
        <v/>
      </c>
      <c r="P45" s="90"/>
      <c r="Q45" s="90"/>
      <c r="R45" s="90"/>
      <c r="S45" s="10" t="str">
        <f>IF($A46="","",COUNTIF($A$2:$A46,$A46))</f>
        <v/>
      </c>
      <c r="U45" s="10" t="str">
        <f>IFERROR(INDEX($C$2:$C$301, SUMPRODUCT((($A$2:$A$301='Payslip Template'!$B$2)*($S$2:$S$300=44))*ROW($A$2:$A$301))-1), "")</f>
        <v/>
      </c>
    </row>
    <row r="46" spans="1:21" ht="15" customHeight="1" x14ac:dyDescent="0.25">
      <c r="A46" s="90"/>
      <c r="K46" s="90"/>
      <c r="M46" s="93" t="str">
        <f>IFERROR(L46/INDEX(Companies!$K:$K,MATCH(A46,Companies!$B:$B,0)),"")</f>
        <v/>
      </c>
      <c r="P46" s="90"/>
      <c r="Q46" s="90"/>
      <c r="R46" s="90"/>
      <c r="S46" s="10" t="str">
        <f>IF($A47="","",COUNTIF($A$2:$A47,$A47))</f>
        <v/>
      </c>
      <c r="U46" s="10" t="str">
        <f>IFERROR(INDEX($C$2:$C$301, SUMPRODUCT((($A$2:$A$301='Payslip Template'!$B$2)*($S$2:$S$300=45))*ROW($A$2:$A$301))-1), "")</f>
        <v/>
      </c>
    </row>
    <row r="47" spans="1:21" ht="15" customHeight="1" x14ac:dyDescent="0.25">
      <c r="A47" s="90"/>
      <c r="K47" s="90"/>
      <c r="M47" s="93" t="str">
        <f>IFERROR(L47/INDEX(Companies!$K:$K,MATCH(A47,Companies!$B:$B,0)),"")</f>
        <v/>
      </c>
      <c r="P47" s="90"/>
      <c r="Q47" s="90"/>
      <c r="R47" s="90"/>
      <c r="S47" s="10" t="str">
        <f>IF($A48="","",COUNTIF($A$2:$A48,$A48))</f>
        <v/>
      </c>
      <c r="U47" s="10" t="str">
        <f>IFERROR(INDEX($C$2:$C$301, SUMPRODUCT((($A$2:$A$301='Payslip Template'!$B$2)*($S$2:$S$300=46))*ROW($A$2:$A$301))-1), "")</f>
        <v/>
      </c>
    </row>
    <row r="48" spans="1:21" ht="15" customHeight="1" x14ac:dyDescent="0.25">
      <c r="A48" s="90"/>
      <c r="K48" s="90"/>
      <c r="M48" s="93" t="str">
        <f>IFERROR(L48/INDEX(Companies!$K:$K,MATCH(A48,Companies!$B:$B,0)),"")</f>
        <v/>
      </c>
      <c r="P48" s="90"/>
      <c r="Q48" s="90"/>
      <c r="R48" s="90"/>
      <c r="S48" s="10" t="str">
        <f>IF($A49="","",COUNTIF($A$2:$A49,$A49))</f>
        <v/>
      </c>
      <c r="U48" s="10" t="str">
        <f>IFERROR(INDEX($C$2:$C$301, SUMPRODUCT((($A$2:$A$301='Payslip Template'!$B$2)*($S$2:$S$300=47))*ROW($A$2:$A$301))-1), "")</f>
        <v/>
      </c>
    </row>
    <row r="49" spans="1:21" ht="15" customHeight="1" x14ac:dyDescent="0.25">
      <c r="A49" s="90"/>
      <c r="K49" s="90"/>
      <c r="M49" s="93" t="str">
        <f>IFERROR(L49/INDEX(Companies!$K:$K,MATCH(A49,Companies!$B:$B,0)),"")</f>
        <v/>
      </c>
      <c r="P49" s="90"/>
      <c r="Q49" s="90"/>
      <c r="R49" s="90"/>
      <c r="S49" s="10" t="str">
        <f>IF($A50="","",COUNTIF($A$2:$A50,$A50))</f>
        <v/>
      </c>
      <c r="U49" s="10" t="str">
        <f>IFERROR(INDEX($C$2:$C$301, SUMPRODUCT((($A$2:$A$301='Payslip Template'!$B$2)*($S$2:$S$300=48))*ROW($A$2:$A$301))-1), "")</f>
        <v/>
      </c>
    </row>
    <row r="50" spans="1:21" ht="15" customHeight="1" x14ac:dyDescent="0.25">
      <c r="A50" s="90"/>
      <c r="K50" s="90"/>
      <c r="M50" s="93" t="str">
        <f>IFERROR(L50/INDEX(Companies!$K:$K,MATCH(A50,Companies!$B:$B,0)),"")</f>
        <v/>
      </c>
      <c r="P50" s="90"/>
      <c r="Q50" s="90"/>
      <c r="R50" s="90"/>
      <c r="S50" s="10" t="str">
        <f>IF($A51="","",COUNTIF($A$2:$A51,$A51))</f>
        <v/>
      </c>
      <c r="U50" s="10" t="str">
        <f>IFERROR(INDEX($C$2:$C$301, SUMPRODUCT((($A$2:$A$301='Payslip Template'!$B$2)*($S$2:$S$300=49))*ROW($A$2:$A$301))-1), "")</f>
        <v/>
      </c>
    </row>
    <row r="51" spans="1:21" ht="15" customHeight="1" x14ac:dyDescent="0.25">
      <c r="A51" s="90"/>
      <c r="K51" s="90"/>
      <c r="M51" s="93" t="str">
        <f>IFERROR(L51/INDEX(Companies!$K:$K,MATCH(A51,Companies!$B:$B,0)),"")</f>
        <v/>
      </c>
      <c r="P51" s="90"/>
      <c r="Q51" s="90"/>
      <c r="R51" s="90"/>
      <c r="S51" s="10" t="str">
        <f>IF($A52="","",COUNTIF($A$2:$A52,$A52))</f>
        <v/>
      </c>
      <c r="U51" s="10" t="str">
        <f>IFERROR(INDEX($C$2:$C$301, SUMPRODUCT((($A$2:$A$301='Payslip Template'!$B$2)*($S$2:$S$300=50))*ROW($A$2:$A$301))-1), "")</f>
        <v/>
      </c>
    </row>
    <row r="52" spans="1:21" ht="15" customHeight="1" x14ac:dyDescent="0.25">
      <c r="A52" s="90"/>
      <c r="K52" s="90"/>
      <c r="M52" s="93" t="str">
        <f>IFERROR(L52/INDEX(Companies!$K:$K,MATCH(A52,Companies!$B:$B,0)),"")</f>
        <v/>
      </c>
      <c r="P52" s="90"/>
      <c r="Q52" s="90"/>
      <c r="R52" s="90"/>
      <c r="S52" s="10" t="str">
        <f>IF($A53="","",COUNTIF($A$2:$A53,$A53))</f>
        <v/>
      </c>
      <c r="U52" s="10" t="str">
        <f>IFERROR(INDEX($C$2:$C$301, SUMPRODUCT((($A$2:$A$301='Payslip Template'!$B$2)*($S$2:$S$300=51))*ROW($A$2:$A$301))-1), "")</f>
        <v/>
      </c>
    </row>
    <row r="53" spans="1:21" ht="15" customHeight="1" x14ac:dyDescent="0.25">
      <c r="A53" s="90"/>
      <c r="K53" s="90"/>
      <c r="M53" s="93" t="str">
        <f>IFERROR(L53/INDEX(Companies!$K:$K,MATCH(A53,Companies!$B:$B,0)),"")</f>
        <v/>
      </c>
      <c r="P53" s="90"/>
      <c r="Q53" s="90"/>
      <c r="R53" s="90"/>
      <c r="S53" s="10" t="str">
        <f>IF($A54="","",COUNTIF($A$2:$A54,$A54))</f>
        <v/>
      </c>
      <c r="U53" s="10" t="str">
        <f>IFERROR(INDEX($C$2:$C$301, SUMPRODUCT((($A$2:$A$301='Payslip Template'!$B$2)*($S$2:$S$300=52))*ROW($A$2:$A$301))-1), "")</f>
        <v/>
      </c>
    </row>
    <row r="54" spans="1:21" ht="15" customHeight="1" x14ac:dyDescent="0.25">
      <c r="A54" s="90"/>
      <c r="K54" s="90"/>
      <c r="M54" s="93" t="str">
        <f>IFERROR(L54/INDEX(Companies!$K:$K,MATCH(A54,Companies!$B:$B,0)),"")</f>
        <v/>
      </c>
      <c r="P54" s="90"/>
      <c r="Q54" s="90"/>
      <c r="R54" s="90"/>
      <c r="S54" s="10" t="str">
        <f>IF($A55="","",COUNTIF($A$2:$A55,$A55))</f>
        <v/>
      </c>
      <c r="U54" s="10" t="str">
        <f>IFERROR(INDEX($C$2:$C$301, SUMPRODUCT((($A$2:$A$301='Payslip Template'!$B$2)*($S$2:$S$300=53))*ROW($A$2:$A$301))-1), "")</f>
        <v/>
      </c>
    </row>
    <row r="55" spans="1:21" ht="15" customHeight="1" x14ac:dyDescent="0.25">
      <c r="A55" s="90"/>
      <c r="K55" s="90"/>
      <c r="M55" s="93" t="str">
        <f>IFERROR(L55/INDEX(Companies!$K:$K,MATCH(A55,Companies!$B:$B,0)),"")</f>
        <v/>
      </c>
      <c r="P55" s="90"/>
      <c r="Q55" s="90"/>
      <c r="R55" s="90"/>
      <c r="S55" s="10" t="str">
        <f>IF($A56="","",COUNTIF($A$2:$A56,$A56))</f>
        <v/>
      </c>
      <c r="U55" s="10" t="str">
        <f>IFERROR(INDEX($C$2:$C$301, SUMPRODUCT((($A$2:$A$301='Payslip Template'!$B$2)*($S$2:$S$300=54))*ROW($A$2:$A$301))-1), "")</f>
        <v/>
      </c>
    </row>
    <row r="56" spans="1:21" ht="15" customHeight="1" x14ac:dyDescent="0.25">
      <c r="A56" s="90"/>
      <c r="K56" s="90"/>
      <c r="M56" s="93" t="str">
        <f>IFERROR(L56/INDEX(Companies!$K:$K,MATCH(A56,Companies!$B:$B,0)),"")</f>
        <v/>
      </c>
      <c r="P56" s="90"/>
      <c r="Q56" s="90"/>
      <c r="R56" s="90"/>
      <c r="S56" s="10" t="str">
        <f>IF($A57="","",COUNTIF($A$2:$A57,$A57))</f>
        <v/>
      </c>
      <c r="U56" s="10" t="str">
        <f>IFERROR(INDEX($C$2:$C$301, SUMPRODUCT((($A$2:$A$301='Payslip Template'!$B$2)*($S$2:$S$300=55))*ROW($A$2:$A$301))-1), "")</f>
        <v/>
      </c>
    </row>
    <row r="57" spans="1:21" ht="15" customHeight="1" x14ac:dyDescent="0.25">
      <c r="A57" s="90"/>
      <c r="K57" s="90"/>
      <c r="M57" s="93" t="str">
        <f>IFERROR(L57/INDEX(Companies!$K:$K,MATCH(A57,Companies!$B:$B,0)),"")</f>
        <v/>
      </c>
      <c r="P57" s="90"/>
      <c r="Q57" s="90"/>
      <c r="R57" s="90"/>
      <c r="S57" s="10" t="str">
        <f>IF($A58="","",COUNTIF($A$2:$A58,$A58))</f>
        <v/>
      </c>
      <c r="U57" s="10" t="str">
        <f>IFERROR(INDEX($C$2:$C$301, SUMPRODUCT((($A$2:$A$301='Payslip Template'!$B$2)*($S$2:$S$300=56))*ROW($A$2:$A$301))-1), "")</f>
        <v/>
      </c>
    </row>
    <row r="58" spans="1:21" ht="15" customHeight="1" x14ac:dyDescent="0.25">
      <c r="A58" s="90"/>
      <c r="K58" s="90"/>
      <c r="M58" s="93" t="str">
        <f>IFERROR(L58/INDEX(Companies!$K:$K,MATCH(A58,Companies!$B:$B,0)),"")</f>
        <v/>
      </c>
      <c r="P58" s="90"/>
      <c r="Q58" s="90"/>
      <c r="R58" s="90"/>
      <c r="S58" s="10" t="str">
        <f>IF($A59="","",COUNTIF($A$2:$A59,$A59))</f>
        <v/>
      </c>
      <c r="U58" s="10" t="str">
        <f>IFERROR(INDEX($C$2:$C$301, SUMPRODUCT((($A$2:$A$301='Payslip Template'!$B$2)*($S$2:$S$300=57))*ROW($A$2:$A$301))-1), "")</f>
        <v/>
      </c>
    </row>
    <row r="59" spans="1:21" ht="15" customHeight="1" x14ac:dyDescent="0.25">
      <c r="A59" s="90"/>
      <c r="K59" s="90"/>
      <c r="M59" s="93" t="str">
        <f>IFERROR(L59/INDEX(Companies!$K:$K,MATCH(A59,Companies!$B:$B,0)),"")</f>
        <v/>
      </c>
      <c r="P59" s="90"/>
      <c r="Q59" s="90"/>
      <c r="R59" s="90"/>
      <c r="S59" s="10" t="str">
        <f>IF($A60="","",COUNTIF($A$2:$A60,$A60))</f>
        <v/>
      </c>
      <c r="U59" s="10" t="str">
        <f>IFERROR(INDEX($C$2:$C$301, SUMPRODUCT((($A$2:$A$301='Payslip Template'!$B$2)*($S$2:$S$300=58))*ROW($A$2:$A$301))-1), "")</f>
        <v/>
      </c>
    </row>
    <row r="60" spans="1:21" ht="15" customHeight="1" x14ac:dyDescent="0.25">
      <c r="A60" s="90"/>
      <c r="K60" s="90"/>
      <c r="M60" s="93" t="str">
        <f>IFERROR(L60/INDEX(Companies!$K:$K,MATCH(A60,Companies!$B:$B,0)),"")</f>
        <v/>
      </c>
      <c r="P60" s="90"/>
      <c r="Q60" s="90"/>
      <c r="R60" s="90"/>
      <c r="S60" s="10" t="str">
        <f>IF($A61="","",COUNTIF($A$2:$A61,$A61))</f>
        <v/>
      </c>
      <c r="U60" s="10" t="str">
        <f>IFERROR(INDEX($C$2:$C$301, SUMPRODUCT((($A$2:$A$301='Payslip Template'!$B$2)*($S$2:$S$300=59))*ROW($A$2:$A$301))-1), "")</f>
        <v/>
      </c>
    </row>
    <row r="61" spans="1:21" ht="15" customHeight="1" x14ac:dyDescent="0.25">
      <c r="A61" s="90"/>
      <c r="K61" s="90"/>
      <c r="M61" s="93" t="str">
        <f>IFERROR(L61/INDEX(Companies!$K:$K,MATCH(A61,Companies!$B:$B,0)),"")</f>
        <v/>
      </c>
      <c r="P61" s="90"/>
      <c r="Q61" s="90"/>
      <c r="R61" s="90"/>
      <c r="S61" s="10" t="str">
        <f>IF($A62="","",COUNTIF($A$2:$A62,$A62))</f>
        <v/>
      </c>
      <c r="U61" s="10" t="str">
        <f>IFERROR(INDEX($C$2:$C$301, SUMPRODUCT((($A$2:$A$301='Payslip Template'!$B$2)*($S$2:$S$300=60))*ROW($A$2:$A$301))-1), "")</f>
        <v/>
      </c>
    </row>
    <row r="62" spans="1:21" ht="15" customHeight="1" x14ac:dyDescent="0.25">
      <c r="A62" s="90"/>
      <c r="K62" s="90"/>
      <c r="M62" s="93" t="str">
        <f>IFERROR(L62/INDEX(Companies!$K:$K,MATCH(A62,Companies!$B:$B,0)),"")</f>
        <v/>
      </c>
      <c r="P62" s="90"/>
      <c r="Q62" s="90"/>
      <c r="R62" s="90"/>
      <c r="S62" s="10" t="str">
        <f>IF($A63="","",COUNTIF($A$2:$A63,$A63))</f>
        <v/>
      </c>
      <c r="U62" s="10" t="str">
        <f>IFERROR(INDEX($C$2:$C$301, SUMPRODUCT((($A$2:$A$301='Payslip Template'!$B$2)*($S$2:$S$300=61))*ROW($A$2:$A$301))-1), "")</f>
        <v/>
      </c>
    </row>
    <row r="63" spans="1:21" ht="15" customHeight="1" x14ac:dyDescent="0.25">
      <c r="A63" s="90"/>
      <c r="K63" s="90"/>
      <c r="M63" s="93" t="str">
        <f>IFERROR(L63/INDEX(Companies!$K:$K,MATCH(A63,Companies!$B:$B,0)),"")</f>
        <v/>
      </c>
      <c r="P63" s="90"/>
      <c r="Q63" s="90"/>
      <c r="R63" s="90"/>
      <c r="S63" s="10" t="str">
        <f>IF($A64="","",COUNTIF($A$2:$A64,$A64))</f>
        <v/>
      </c>
      <c r="U63" s="10" t="str">
        <f>IFERROR(INDEX($C$2:$C$301, SUMPRODUCT((($A$2:$A$301='Payslip Template'!$B$2)*($S$2:$S$300=62))*ROW($A$2:$A$301))-1), "")</f>
        <v/>
      </c>
    </row>
    <row r="64" spans="1:21" ht="15" customHeight="1" x14ac:dyDescent="0.25">
      <c r="A64" s="90"/>
      <c r="K64" s="90"/>
      <c r="M64" s="93" t="str">
        <f>IFERROR(L64/INDEX(Companies!$K:$K,MATCH(A64,Companies!$B:$B,0)),"")</f>
        <v/>
      </c>
      <c r="P64" s="90"/>
      <c r="Q64" s="90"/>
      <c r="R64" s="90"/>
      <c r="S64" s="10" t="str">
        <f>IF($A65="","",COUNTIF($A$2:$A65,$A65))</f>
        <v/>
      </c>
      <c r="U64" s="10" t="str">
        <f>IFERROR(INDEX($C$2:$C$301, SUMPRODUCT((($A$2:$A$301='Payslip Template'!$B$2)*($S$2:$S$300=63))*ROW($A$2:$A$301))-1), "")</f>
        <v/>
      </c>
    </row>
    <row r="65" spans="1:21" ht="15" customHeight="1" x14ac:dyDescent="0.25">
      <c r="A65" s="90"/>
      <c r="K65" s="90"/>
      <c r="M65" s="93" t="str">
        <f>IFERROR(L65/INDEX(Companies!$K:$K,MATCH(A65,Companies!$B:$B,0)),"")</f>
        <v/>
      </c>
      <c r="P65" s="90"/>
      <c r="Q65" s="90"/>
      <c r="R65" s="90"/>
      <c r="S65" s="10" t="str">
        <f>IF($A66="","",COUNTIF($A$2:$A66,$A66))</f>
        <v/>
      </c>
      <c r="U65" s="10" t="str">
        <f>IFERROR(INDEX($C$2:$C$301, SUMPRODUCT((($A$2:$A$301='Payslip Template'!$B$2)*($S$2:$S$300=64))*ROW($A$2:$A$301))-1), "")</f>
        <v/>
      </c>
    </row>
    <row r="66" spans="1:21" ht="15" customHeight="1" x14ac:dyDescent="0.25">
      <c r="A66" s="90"/>
      <c r="K66" s="90"/>
      <c r="M66" s="93" t="str">
        <f>IFERROR(L66/INDEX(Companies!$K:$K,MATCH(A66,Companies!$B:$B,0)),"")</f>
        <v/>
      </c>
      <c r="P66" s="90"/>
      <c r="Q66" s="90"/>
      <c r="R66" s="90"/>
      <c r="S66" s="10" t="str">
        <f>IF($A67="","",COUNTIF($A$2:$A67,$A67))</f>
        <v/>
      </c>
      <c r="U66" s="10" t="str">
        <f>IFERROR(INDEX($C$2:$C$301, SUMPRODUCT((($A$2:$A$301='Payslip Template'!$B$2)*($S$2:$S$300=65))*ROW($A$2:$A$301))-1), "")</f>
        <v/>
      </c>
    </row>
    <row r="67" spans="1:21" ht="15" customHeight="1" x14ac:dyDescent="0.25">
      <c r="A67" s="90"/>
      <c r="K67" s="90"/>
      <c r="M67" s="93" t="str">
        <f>IFERROR(L67/INDEX(Companies!$K:$K,MATCH(A67,Companies!$B:$B,0)),"")</f>
        <v/>
      </c>
      <c r="P67" s="90"/>
      <c r="Q67" s="90"/>
      <c r="R67" s="90"/>
      <c r="S67" s="10" t="str">
        <f>IF($A68="","",COUNTIF($A$2:$A68,$A68))</f>
        <v/>
      </c>
      <c r="U67" s="10" t="str">
        <f>IFERROR(INDEX($C$2:$C$301, SUMPRODUCT((($A$2:$A$301='Payslip Template'!$B$2)*($S$2:$S$300=66))*ROW($A$2:$A$301))-1), "")</f>
        <v/>
      </c>
    </row>
    <row r="68" spans="1:21" ht="15" customHeight="1" x14ac:dyDescent="0.25">
      <c r="A68" s="90"/>
      <c r="K68" s="90"/>
      <c r="M68" s="93" t="str">
        <f>IFERROR(L68/INDEX(Companies!$K:$K,MATCH(A68,Companies!$B:$B,0)),"")</f>
        <v/>
      </c>
      <c r="P68" s="90"/>
      <c r="Q68" s="90"/>
      <c r="R68" s="90"/>
      <c r="S68" s="10" t="str">
        <f>IF($A69="","",COUNTIF($A$2:$A69,$A69))</f>
        <v/>
      </c>
      <c r="U68" s="10" t="str">
        <f>IFERROR(INDEX($C$2:$C$301, SUMPRODUCT((($A$2:$A$301='Payslip Template'!$B$2)*($S$2:$S$300=67))*ROW($A$2:$A$301))-1), "")</f>
        <v/>
      </c>
    </row>
    <row r="69" spans="1:21" ht="15" customHeight="1" x14ac:dyDescent="0.25">
      <c r="A69" s="90"/>
      <c r="K69" s="90"/>
      <c r="M69" s="93" t="str">
        <f>IFERROR(L69/INDEX(Companies!$K:$K,MATCH(A69,Companies!$B:$B,0)),"")</f>
        <v/>
      </c>
      <c r="P69" s="90"/>
      <c r="Q69" s="90"/>
      <c r="R69" s="90"/>
      <c r="S69" s="10" t="str">
        <f>IF($A70="","",COUNTIF($A$2:$A70,$A70))</f>
        <v/>
      </c>
      <c r="U69" s="10" t="str">
        <f>IFERROR(INDEX($C$2:$C$301, SUMPRODUCT((($A$2:$A$301='Payslip Template'!$B$2)*($S$2:$S$300=68))*ROW($A$2:$A$301))-1), "")</f>
        <v/>
      </c>
    </row>
    <row r="70" spans="1:21" ht="15" customHeight="1" x14ac:dyDescent="0.25">
      <c r="A70" s="90"/>
      <c r="K70" s="90"/>
      <c r="M70" s="93" t="str">
        <f>IFERROR(L70/INDEX(Companies!$K:$K,MATCH(A70,Companies!$B:$B,0)),"")</f>
        <v/>
      </c>
      <c r="P70" s="90"/>
      <c r="Q70" s="90"/>
      <c r="R70" s="90"/>
      <c r="S70" s="10" t="str">
        <f>IF($A71="","",COUNTIF($A$2:$A71,$A71))</f>
        <v/>
      </c>
      <c r="U70" s="10" t="str">
        <f>IFERROR(INDEX($C$2:$C$301, SUMPRODUCT((($A$2:$A$301='Payslip Template'!$B$2)*($S$2:$S$300=69))*ROW($A$2:$A$301))-1), "")</f>
        <v/>
      </c>
    </row>
    <row r="71" spans="1:21" ht="15" customHeight="1" x14ac:dyDescent="0.25">
      <c r="A71" s="90"/>
      <c r="K71" s="90"/>
      <c r="M71" s="93" t="str">
        <f>IFERROR(L71/INDEX(Companies!$K:$K,MATCH(A71,Companies!$B:$B,0)),"")</f>
        <v/>
      </c>
      <c r="P71" s="90"/>
      <c r="Q71" s="90"/>
      <c r="R71" s="90"/>
      <c r="S71" s="10" t="str">
        <f>IF($A72="","",COUNTIF($A$2:$A72,$A72))</f>
        <v/>
      </c>
      <c r="U71" s="10" t="str">
        <f>IFERROR(INDEX($C$2:$C$301, SUMPRODUCT((($A$2:$A$301='Payslip Template'!$B$2)*($S$2:$S$300=70))*ROW($A$2:$A$301))-1), "")</f>
        <v/>
      </c>
    </row>
    <row r="72" spans="1:21" ht="15" customHeight="1" x14ac:dyDescent="0.25">
      <c r="A72" s="90"/>
      <c r="K72" s="90"/>
      <c r="M72" s="93" t="str">
        <f>IFERROR(L72/INDEX(Companies!$K:$K,MATCH(A72,Companies!$B:$B,0)),"")</f>
        <v/>
      </c>
      <c r="P72" s="90"/>
      <c r="Q72" s="90"/>
      <c r="R72" s="90"/>
      <c r="S72" s="10" t="str">
        <f>IF($A73="","",COUNTIF($A$2:$A73,$A73))</f>
        <v/>
      </c>
      <c r="U72" s="10" t="str">
        <f>IFERROR(INDEX($C$2:$C$301, SUMPRODUCT((($A$2:$A$301='Payslip Template'!$B$2)*($S$2:$S$300=71))*ROW($A$2:$A$301))-1), "")</f>
        <v/>
      </c>
    </row>
    <row r="73" spans="1:21" ht="15" customHeight="1" x14ac:dyDescent="0.25">
      <c r="A73" s="90"/>
      <c r="K73" s="90"/>
      <c r="M73" s="93" t="str">
        <f>IFERROR(L73/INDEX(Companies!$K:$K,MATCH(A73,Companies!$B:$B,0)),"")</f>
        <v/>
      </c>
      <c r="P73" s="90"/>
      <c r="Q73" s="90"/>
      <c r="R73" s="90"/>
      <c r="S73" s="10" t="str">
        <f>IF($A74="","",COUNTIF($A$2:$A74,$A74))</f>
        <v/>
      </c>
      <c r="U73" s="10" t="str">
        <f>IFERROR(INDEX($C$2:$C$301, SUMPRODUCT((($A$2:$A$301='Payslip Template'!$B$2)*($S$2:$S$300=72))*ROW($A$2:$A$301))-1), "")</f>
        <v/>
      </c>
    </row>
    <row r="74" spans="1:21" ht="15" customHeight="1" x14ac:dyDescent="0.25">
      <c r="A74" s="90"/>
      <c r="K74" s="90"/>
      <c r="M74" s="93" t="str">
        <f>IFERROR(L74/INDEX(Companies!$K:$K,MATCH(A74,Companies!$B:$B,0)),"")</f>
        <v/>
      </c>
      <c r="P74" s="90"/>
      <c r="Q74" s="90"/>
      <c r="R74" s="90"/>
      <c r="S74" s="10" t="str">
        <f>IF($A75="","",COUNTIF($A$2:$A75,$A75))</f>
        <v/>
      </c>
      <c r="U74" s="10" t="str">
        <f>IFERROR(INDEX($C$2:$C$301, SUMPRODUCT((($A$2:$A$301='Payslip Template'!$B$2)*($S$2:$S$300=73))*ROW($A$2:$A$301))-1), "")</f>
        <v/>
      </c>
    </row>
    <row r="75" spans="1:21" ht="15" customHeight="1" x14ac:dyDescent="0.25">
      <c r="A75" s="90"/>
      <c r="K75" s="90"/>
      <c r="M75" s="93" t="str">
        <f>IFERROR(L75/INDEX(Companies!$K:$K,MATCH(A75,Companies!$B:$B,0)),"")</f>
        <v/>
      </c>
      <c r="P75" s="90"/>
      <c r="Q75" s="90"/>
      <c r="R75" s="90"/>
      <c r="S75" s="10" t="str">
        <f>IF($A76="","",COUNTIF($A$2:$A76,$A76))</f>
        <v/>
      </c>
      <c r="U75" s="10" t="str">
        <f>IFERROR(INDEX($C$2:$C$301, SUMPRODUCT((($A$2:$A$301='Payslip Template'!$B$2)*($S$2:$S$300=74))*ROW($A$2:$A$301))-1), "")</f>
        <v/>
      </c>
    </row>
    <row r="76" spans="1:21" ht="15" customHeight="1" x14ac:dyDescent="0.25">
      <c r="A76" s="90"/>
      <c r="K76" s="90"/>
      <c r="M76" s="93" t="str">
        <f>IFERROR(L76/INDEX(Companies!$K:$K,MATCH(A76,Companies!$B:$B,0)),"")</f>
        <v/>
      </c>
      <c r="P76" s="90"/>
      <c r="Q76" s="90"/>
      <c r="R76" s="90"/>
      <c r="S76" s="10" t="str">
        <f>IF($A77="","",COUNTIF($A$2:$A77,$A77))</f>
        <v/>
      </c>
      <c r="U76" s="10" t="str">
        <f>IFERROR(INDEX($C$2:$C$301, SUMPRODUCT((($A$2:$A$301='Payslip Template'!$B$2)*($S$2:$S$300=75))*ROW($A$2:$A$301))-1), "")</f>
        <v/>
      </c>
    </row>
    <row r="77" spans="1:21" ht="15" customHeight="1" x14ac:dyDescent="0.25">
      <c r="A77" s="90"/>
      <c r="K77" s="90"/>
      <c r="M77" s="93" t="str">
        <f>IFERROR(L77/INDEX(Companies!$K:$K,MATCH(A77,Companies!$B:$B,0)),"")</f>
        <v/>
      </c>
      <c r="P77" s="90"/>
      <c r="Q77" s="90"/>
      <c r="R77" s="90"/>
      <c r="S77" s="10" t="str">
        <f>IF($A78="","",COUNTIF($A$2:$A78,$A78))</f>
        <v/>
      </c>
      <c r="U77" s="10" t="str">
        <f>IFERROR(INDEX($C$2:$C$301, SUMPRODUCT((($A$2:$A$301='Payslip Template'!$B$2)*($S$2:$S$300=76))*ROW($A$2:$A$301))-1), "")</f>
        <v/>
      </c>
    </row>
    <row r="78" spans="1:21" ht="15" customHeight="1" x14ac:dyDescent="0.25">
      <c r="A78" s="90"/>
      <c r="K78" s="90"/>
      <c r="M78" s="93" t="str">
        <f>IFERROR(L78/INDEX(Companies!$K:$K,MATCH(A78,Companies!$B:$B,0)),"")</f>
        <v/>
      </c>
      <c r="P78" s="90"/>
      <c r="Q78" s="90"/>
      <c r="R78" s="90"/>
      <c r="S78" s="10" t="str">
        <f>IF($A79="","",COUNTIF($A$2:$A79,$A79))</f>
        <v/>
      </c>
      <c r="U78" s="10" t="str">
        <f>IFERROR(INDEX($C$2:$C$301, SUMPRODUCT((($A$2:$A$301='Payslip Template'!$B$2)*($S$2:$S$300=77))*ROW($A$2:$A$301))-1), "")</f>
        <v/>
      </c>
    </row>
    <row r="79" spans="1:21" ht="15" customHeight="1" x14ac:dyDescent="0.25">
      <c r="A79" s="90"/>
      <c r="K79" s="90"/>
      <c r="M79" s="93" t="str">
        <f>IFERROR(L79/INDEX(Companies!$K:$K,MATCH(A79,Companies!$B:$B,0)),"")</f>
        <v/>
      </c>
      <c r="P79" s="90"/>
      <c r="Q79" s="90"/>
      <c r="R79" s="90"/>
      <c r="S79" s="10" t="str">
        <f>IF($A80="","",COUNTIF($A$2:$A80,$A80))</f>
        <v/>
      </c>
      <c r="U79" s="10" t="str">
        <f>IFERROR(INDEX($C$2:$C$301, SUMPRODUCT((($A$2:$A$301='Payslip Template'!$B$2)*($S$2:$S$300=78))*ROW($A$2:$A$301))-1), "")</f>
        <v/>
      </c>
    </row>
    <row r="80" spans="1:21" ht="15" customHeight="1" x14ac:dyDescent="0.25">
      <c r="A80" s="90"/>
      <c r="K80" s="90"/>
      <c r="M80" s="93" t="str">
        <f>IFERROR(L80/INDEX(Companies!$K:$K,MATCH(A80,Companies!$B:$B,0)),"")</f>
        <v/>
      </c>
      <c r="P80" s="90"/>
      <c r="Q80" s="90"/>
      <c r="R80" s="90"/>
      <c r="S80" s="10" t="str">
        <f>IF($A81="","",COUNTIF($A$2:$A81,$A81))</f>
        <v/>
      </c>
      <c r="U80" s="10" t="str">
        <f>IFERROR(INDEX($C$2:$C$301, SUMPRODUCT((($A$2:$A$301='Payslip Template'!$B$2)*($S$2:$S$300=79))*ROW($A$2:$A$301))-1), "")</f>
        <v/>
      </c>
    </row>
    <row r="81" spans="1:21" ht="15" customHeight="1" x14ac:dyDescent="0.25">
      <c r="A81" s="90"/>
      <c r="K81" s="90"/>
      <c r="M81" s="93" t="str">
        <f>IFERROR(L81/INDEX(Companies!$K:$K,MATCH(A81,Companies!$B:$B,0)),"")</f>
        <v/>
      </c>
      <c r="P81" s="90"/>
      <c r="Q81" s="90"/>
      <c r="R81" s="90"/>
      <c r="S81" s="10" t="str">
        <f>IF($A82="","",COUNTIF($A$2:$A82,$A82))</f>
        <v/>
      </c>
      <c r="U81" s="10" t="str">
        <f>IFERROR(INDEX($C$2:$C$301, SUMPRODUCT((($A$2:$A$301='Payslip Template'!$B$2)*($S$2:$S$300=80))*ROW($A$2:$A$301))-1), "")</f>
        <v/>
      </c>
    </row>
    <row r="82" spans="1:21" ht="15" customHeight="1" x14ac:dyDescent="0.25">
      <c r="A82" s="90"/>
      <c r="K82" s="90"/>
      <c r="M82" s="93" t="str">
        <f>IFERROR(L82/INDEX(Companies!$K:$K,MATCH(A82,Companies!$B:$B,0)),"")</f>
        <v/>
      </c>
      <c r="P82" s="90"/>
      <c r="Q82" s="90"/>
      <c r="R82" s="90"/>
      <c r="S82" s="10" t="str">
        <f>IF($A83="","",COUNTIF($A$2:$A83,$A83))</f>
        <v/>
      </c>
      <c r="U82" s="10" t="str">
        <f>IFERROR(INDEX($C$2:$C$301, SUMPRODUCT((($A$2:$A$301='Payslip Template'!$B$2)*($S$2:$S$300=81))*ROW($A$2:$A$301))-1), "")</f>
        <v/>
      </c>
    </row>
    <row r="83" spans="1:21" ht="15" customHeight="1" x14ac:dyDescent="0.25">
      <c r="A83" s="90"/>
      <c r="K83" s="90"/>
      <c r="M83" s="93" t="str">
        <f>IFERROR(L83/INDEX(Companies!$K:$K,MATCH(A83,Companies!$B:$B,0)),"")</f>
        <v/>
      </c>
      <c r="P83" s="90"/>
      <c r="Q83" s="90"/>
      <c r="R83" s="90"/>
      <c r="S83" s="10" t="str">
        <f>IF($A84="","",COUNTIF($A$2:$A84,$A84))</f>
        <v/>
      </c>
      <c r="U83" s="10" t="str">
        <f>IFERROR(INDEX($C$2:$C$301, SUMPRODUCT((($A$2:$A$301='Payslip Template'!$B$2)*($S$2:$S$300=82))*ROW($A$2:$A$301))-1), "")</f>
        <v/>
      </c>
    </row>
    <row r="84" spans="1:21" ht="15" customHeight="1" x14ac:dyDescent="0.25">
      <c r="A84" s="90"/>
      <c r="K84" s="90"/>
      <c r="M84" s="93" t="str">
        <f>IFERROR(L84/INDEX(Companies!$K:$K,MATCH(A84,Companies!$B:$B,0)),"")</f>
        <v/>
      </c>
      <c r="P84" s="90"/>
      <c r="Q84" s="90"/>
      <c r="R84" s="90"/>
      <c r="S84" s="10" t="str">
        <f>IF($A85="","",COUNTIF($A$2:$A85,$A85))</f>
        <v/>
      </c>
      <c r="U84" s="10" t="str">
        <f>IFERROR(INDEX($C$2:$C$301, SUMPRODUCT((($A$2:$A$301='Payslip Template'!$B$2)*($S$2:$S$300=83))*ROW($A$2:$A$301))-1), "")</f>
        <v/>
      </c>
    </row>
    <row r="85" spans="1:21" ht="15" customHeight="1" x14ac:dyDescent="0.25">
      <c r="A85" s="90"/>
      <c r="K85" s="90"/>
      <c r="M85" s="93" t="str">
        <f>IFERROR(L85/INDEX(Companies!$K:$K,MATCH(A85,Companies!$B:$B,0)),"")</f>
        <v/>
      </c>
      <c r="P85" s="90"/>
      <c r="Q85" s="90"/>
      <c r="R85" s="90"/>
      <c r="S85" s="10" t="str">
        <f>IF($A86="","",COUNTIF($A$2:$A86,$A86))</f>
        <v/>
      </c>
      <c r="U85" s="10" t="str">
        <f>IFERROR(INDEX($C$2:$C$301, SUMPRODUCT((($A$2:$A$301='Payslip Template'!$B$2)*($S$2:$S$300=84))*ROW($A$2:$A$301))-1), "")</f>
        <v/>
      </c>
    </row>
    <row r="86" spans="1:21" ht="15" customHeight="1" x14ac:dyDescent="0.25">
      <c r="A86" s="90"/>
      <c r="K86" s="90"/>
      <c r="M86" s="93" t="str">
        <f>IFERROR(L86/INDEX(Companies!$K:$K,MATCH(A86,Companies!$B:$B,0)),"")</f>
        <v/>
      </c>
      <c r="P86" s="90"/>
      <c r="Q86" s="90"/>
      <c r="R86" s="90"/>
      <c r="S86" s="10" t="str">
        <f>IF($A87="","",COUNTIF($A$2:$A87,$A87))</f>
        <v/>
      </c>
      <c r="U86" s="10" t="str">
        <f>IFERROR(INDEX($C$2:$C$301, SUMPRODUCT((($A$2:$A$301='Payslip Template'!$B$2)*($S$2:$S$300=85))*ROW($A$2:$A$301))-1), "")</f>
        <v/>
      </c>
    </row>
    <row r="87" spans="1:21" ht="15" customHeight="1" x14ac:dyDescent="0.25">
      <c r="A87" s="90"/>
      <c r="K87" s="90"/>
      <c r="M87" s="93" t="str">
        <f>IFERROR(L87/INDEX(Companies!$K:$K,MATCH(A87,Companies!$B:$B,0)),"")</f>
        <v/>
      </c>
      <c r="P87" s="90"/>
      <c r="Q87" s="90"/>
      <c r="R87" s="90"/>
      <c r="S87" s="10" t="str">
        <f>IF($A88="","",COUNTIF($A$2:$A88,$A88))</f>
        <v/>
      </c>
      <c r="U87" s="10" t="str">
        <f>IFERROR(INDEX($C$2:$C$301, SUMPRODUCT((($A$2:$A$301='Payslip Template'!$B$2)*($S$2:$S$300=86))*ROW($A$2:$A$301))-1), "")</f>
        <v/>
      </c>
    </row>
    <row r="88" spans="1:21" ht="15" customHeight="1" x14ac:dyDescent="0.25">
      <c r="A88" s="90"/>
      <c r="K88" s="90"/>
      <c r="M88" s="93" t="str">
        <f>IFERROR(L88/INDEX(Companies!$K:$K,MATCH(A88,Companies!$B:$B,0)),"")</f>
        <v/>
      </c>
      <c r="P88" s="90"/>
      <c r="Q88" s="90"/>
      <c r="R88" s="90"/>
      <c r="S88" s="10" t="str">
        <f>IF($A89="","",COUNTIF($A$2:$A89,$A89))</f>
        <v/>
      </c>
      <c r="U88" s="10" t="str">
        <f>IFERROR(INDEX($C$2:$C$301, SUMPRODUCT((($A$2:$A$301='Payslip Template'!$B$2)*($S$2:$S$300=87))*ROW($A$2:$A$301))-1), "")</f>
        <v/>
      </c>
    </row>
    <row r="89" spans="1:21" ht="15" customHeight="1" x14ac:dyDescent="0.25">
      <c r="A89" s="90"/>
      <c r="K89" s="90"/>
      <c r="M89" s="93" t="str">
        <f>IFERROR(L89/INDEX(Companies!$K:$K,MATCH(A89,Companies!$B:$B,0)),"")</f>
        <v/>
      </c>
      <c r="P89" s="90"/>
      <c r="Q89" s="90"/>
      <c r="R89" s="90"/>
      <c r="S89" s="10" t="str">
        <f>IF($A90="","",COUNTIF($A$2:$A90,$A90))</f>
        <v/>
      </c>
      <c r="U89" s="10" t="str">
        <f>IFERROR(INDEX($C$2:$C$301, SUMPRODUCT((($A$2:$A$301='Payslip Template'!$B$2)*($S$2:$S$300=88))*ROW($A$2:$A$301))-1), "")</f>
        <v/>
      </c>
    </row>
    <row r="90" spans="1:21" ht="15" customHeight="1" x14ac:dyDescent="0.25">
      <c r="A90" s="90"/>
      <c r="K90" s="90"/>
      <c r="M90" s="93" t="str">
        <f>IFERROR(L90/INDEX(Companies!$K:$K,MATCH(A90,Companies!$B:$B,0)),"")</f>
        <v/>
      </c>
      <c r="P90" s="90"/>
      <c r="Q90" s="90"/>
      <c r="R90" s="90"/>
      <c r="S90" s="10" t="str">
        <f>IF($A91="","",COUNTIF($A$2:$A91,$A91))</f>
        <v/>
      </c>
      <c r="U90" s="10" t="str">
        <f>IFERROR(INDEX($C$2:$C$301, SUMPRODUCT((($A$2:$A$301='Payslip Template'!$B$2)*($S$2:$S$300=89))*ROW($A$2:$A$301))-1), "")</f>
        <v/>
      </c>
    </row>
    <row r="91" spans="1:21" ht="15" customHeight="1" x14ac:dyDescent="0.25">
      <c r="A91" s="90"/>
      <c r="K91" s="90"/>
      <c r="M91" s="93" t="str">
        <f>IFERROR(L91/INDEX(Companies!$K:$K,MATCH(A91,Companies!$B:$B,0)),"")</f>
        <v/>
      </c>
      <c r="P91" s="90"/>
      <c r="Q91" s="90"/>
      <c r="R91" s="90"/>
      <c r="S91" s="10" t="str">
        <f>IF($A92="","",COUNTIF($A$2:$A92,$A92))</f>
        <v/>
      </c>
      <c r="U91" s="10" t="str">
        <f>IFERROR(INDEX($C$2:$C$301, SUMPRODUCT((($A$2:$A$301='Payslip Template'!$B$2)*($S$2:$S$300=90))*ROW($A$2:$A$301))-1), "")</f>
        <v/>
      </c>
    </row>
    <row r="92" spans="1:21" ht="15" customHeight="1" x14ac:dyDescent="0.25">
      <c r="A92" s="90"/>
      <c r="K92" s="90"/>
      <c r="M92" s="93" t="str">
        <f>IFERROR(L92/INDEX(Companies!$K:$K,MATCH(A92,Companies!$B:$B,0)),"")</f>
        <v/>
      </c>
      <c r="P92" s="90"/>
      <c r="Q92" s="90"/>
      <c r="R92" s="90"/>
      <c r="S92" s="10" t="str">
        <f>IF($A93="","",COUNTIF($A$2:$A93,$A93))</f>
        <v/>
      </c>
      <c r="U92" s="10" t="str">
        <f>IFERROR(INDEX($C$2:$C$301, SUMPRODUCT((($A$2:$A$301='Payslip Template'!$B$2)*($S$2:$S$300=91))*ROW($A$2:$A$301))-1), "")</f>
        <v/>
      </c>
    </row>
    <row r="93" spans="1:21" ht="15" customHeight="1" x14ac:dyDescent="0.25">
      <c r="A93" s="90"/>
      <c r="K93" s="90"/>
      <c r="M93" s="93" t="str">
        <f>IFERROR(L93/INDEX(Companies!$K:$K,MATCH(A93,Companies!$B:$B,0)),"")</f>
        <v/>
      </c>
      <c r="P93" s="90"/>
      <c r="Q93" s="90"/>
      <c r="R93" s="90"/>
      <c r="S93" s="10" t="str">
        <f>IF($A94="","",COUNTIF($A$2:$A94,$A94))</f>
        <v/>
      </c>
      <c r="U93" s="10" t="str">
        <f>IFERROR(INDEX($C$2:$C$301, SUMPRODUCT((($A$2:$A$301='Payslip Template'!$B$2)*($S$2:$S$300=92))*ROW($A$2:$A$301))-1), "")</f>
        <v/>
      </c>
    </row>
    <row r="94" spans="1:21" ht="15" customHeight="1" x14ac:dyDescent="0.25">
      <c r="A94" s="90"/>
      <c r="K94" s="90"/>
      <c r="M94" s="93" t="str">
        <f>IFERROR(L94/INDEX(Companies!$K:$K,MATCH(A94,Companies!$B:$B,0)),"")</f>
        <v/>
      </c>
      <c r="P94" s="90"/>
      <c r="Q94" s="90"/>
      <c r="R94" s="90"/>
      <c r="S94" s="10" t="str">
        <f>IF($A95="","",COUNTIF($A$2:$A95,$A95))</f>
        <v/>
      </c>
      <c r="U94" s="10" t="str">
        <f>IFERROR(INDEX($C$2:$C$301, SUMPRODUCT((($A$2:$A$301='Payslip Template'!$B$2)*($S$2:$S$300=93))*ROW($A$2:$A$301))-1), "")</f>
        <v/>
      </c>
    </row>
    <row r="95" spans="1:21" ht="15" customHeight="1" x14ac:dyDescent="0.25">
      <c r="A95" s="90"/>
      <c r="K95" s="90"/>
      <c r="M95" s="93" t="str">
        <f>IFERROR(L95/INDEX(Companies!$K:$K,MATCH(A95,Companies!$B:$B,0)),"")</f>
        <v/>
      </c>
      <c r="P95" s="90"/>
      <c r="Q95" s="90"/>
      <c r="R95" s="90"/>
      <c r="S95" s="10" t="str">
        <f>IF($A96="","",COUNTIF($A$2:$A96,$A96))</f>
        <v/>
      </c>
      <c r="U95" s="10" t="str">
        <f>IFERROR(INDEX($C$2:$C$301, SUMPRODUCT((($A$2:$A$301='Payslip Template'!$B$2)*($S$2:$S$300=94))*ROW($A$2:$A$301))-1), "")</f>
        <v/>
      </c>
    </row>
    <row r="96" spans="1:21" ht="15" customHeight="1" x14ac:dyDescent="0.25">
      <c r="A96" s="90"/>
      <c r="K96" s="90"/>
      <c r="M96" s="93" t="str">
        <f>IFERROR(L96/INDEX(Companies!$K:$K,MATCH(A96,Companies!$B:$B,0)),"")</f>
        <v/>
      </c>
      <c r="P96" s="90"/>
      <c r="Q96" s="90"/>
      <c r="R96" s="90"/>
      <c r="S96" s="10" t="str">
        <f>IF($A97="","",COUNTIF($A$2:$A97,$A97))</f>
        <v/>
      </c>
      <c r="U96" s="10" t="str">
        <f>IFERROR(INDEX($C$2:$C$301, SUMPRODUCT((($A$2:$A$301='Payslip Template'!$B$2)*($S$2:$S$300=95))*ROW($A$2:$A$301))-1), "")</f>
        <v/>
      </c>
    </row>
    <row r="97" spans="1:21" ht="15" customHeight="1" x14ac:dyDescent="0.25">
      <c r="A97" s="90"/>
      <c r="K97" s="90"/>
      <c r="M97" s="93" t="str">
        <f>IFERROR(L97/INDEX(Companies!$K:$K,MATCH(A97,Companies!$B:$B,0)),"")</f>
        <v/>
      </c>
      <c r="P97" s="90"/>
      <c r="Q97" s="90"/>
      <c r="R97" s="90"/>
      <c r="S97" s="10" t="str">
        <f>IF($A98="","",COUNTIF($A$2:$A98,$A98))</f>
        <v/>
      </c>
      <c r="U97" s="10" t="str">
        <f>IFERROR(INDEX($C$2:$C$301, SUMPRODUCT((($A$2:$A$301='Payslip Template'!$B$2)*($S$2:$S$300=96))*ROW($A$2:$A$301))-1), "")</f>
        <v/>
      </c>
    </row>
    <row r="98" spans="1:21" ht="15" customHeight="1" x14ac:dyDescent="0.25">
      <c r="A98" s="90"/>
      <c r="K98" s="90"/>
      <c r="M98" s="93" t="str">
        <f>IFERROR(L98/INDEX(Companies!$K:$K,MATCH(A98,Companies!$B:$B,0)),"")</f>
        <v/>
      </c>
      <c r="P98" s="90"/>
      <c r="Q98" s="90"/>
      <c r="R98" s="90"/>
      <c r="S98" s="10" t="str">
        <f>IF($A99="","",COUNTIF($A$2:$A99,$A99))</f>
        <v/>
      </c>
      <c r="U98" s="10" t="str">
        <f>IFERROR(INDEX($C$2:$C$301, SUMPRODUCT((($A$2:$A$301='Payslip Template'!$B$2)*($S$2:$S$300=97))*ROW($A$2:$A$301))-1), "")</f>
        <v/>
      </c>
    </row>
    <row r="99" spans="1:21" ht="15" customHeight="1" x14ac:dyDescent="0.25">
      <c r="A99" s="90"/>
      <c r="K99" s="90"/>
      <c r="M99" s="93" t="str">
        <f>IFERROR(L99/INDEX(Companies!$K:$K,MATCH(A99,Companies!$B:$B,0)),"")</f>
        <v/>
      </c>
      <c r="P99" s="90"/>
      <c r="Q99" s="90"/>
      <c r="R99" s="90"/>
      <c r="S99" s="10" t="str">
        <f>IF($A100="","",COUNTIF($A$2:$A100,$A100))</f>
        <v/>
      </c>
      <c r="U99" s="10" t="str">
        <f>IFERROR(INDEX($C$2:$C$301, SUMPRODUCT((($A$2:$A$301='Payslip Template'!$B$2)*($S$2:$S$300=98))*ROW($A$2:$A$301))-1), "")</f>
        <v/>
      </c>
    </row>
    <row r="100" spans="1:21" ht="15" customHeight="1" x14ac:dyDescent="0.25">
      <c r="A100" s="90"/>
      <c r="K100" s="90"/>
      <c r="M100" s="93" t="str">
        <f>IFERROR(L100/INDEX(Companies!$K:$K,MATCH(A100,Companies!$B:$B,0)),"")</f>
        <v/>
      </c>
      <c r="P100" s="90"/>
      <c r="Q100" s="90"/>
      <c r="R100" s="90"/>
      <c r="S100" s="10" t="str">
        <f>IF($A101="","",COUNTIF($A$2:$A101,$A101))</f>
        <v/>
      </c>
      <c r="U100" s="10" t="str">
        <f>IFERROR(INDEX($C$2:$C$301, SUMPRODUCT((($A$2:$A$301='Payslip Template'!$B$2)*($S$2:$S$300=99))*ROW($A$2:$A$301))-1), "")</f>
        <v/>
      </c>
    </row>
    <row r="101" spans="1:21" ht="15" customHeight="1" x14ac:dyDescent="0.25">
      <c r="A101" s="90"/>
      <c r="K101" s="90"/>
      <c r="M101" s="93" t="str">
        <f>IFERROR(L101/INDEX(Companies!$K:$K,MATCH(A101,Companies!$B:$B,0)),"")</f>
        <v/>
      </c>
      <c r="P101" s="90"/>
      <c r="Q101" s="90"/>
      <c r="R101" s="90"/>
      <c r="S101" s="10" t="str">
        <f>IF($A102="","",COUNTIF($A$2:$A102,$A102))</f>
        <v/>
      </c>
      <c r="U101" s="10" t="str">
        <f>IFERROR(INDEX($C$2:$C$301, SUMPRODUCT((($A$2:$A$301='Payslip Template'!$B$2)*($S$2:$S$300=100))*ROW($A$2:$A$301))-1), "")</f>
        <v/>
      </c>
    </row>
    <row r="102" spans="1:21" x14ac:dyDescent="0.25">
      <c r="A102" s="90"/>
      <c r="K102" s="90"/>
      <c r="M102" s="93" t="str">
        <f>IFERROR(L102/INDEX(Companies!$K:$K,MATCH(A102,Companies!$B:$B,0)),"")</f>
        <v/>
      </c>
      <c r="P102" s="90"/>
      <c r="Q102" s="90"/>
      <c r="R102" s="90"/>
      <c r="S102" s="10" t="str">
        <f>IF($A103="","",COUNTIF($A$2:$A103,$A103))</f>
        <v/>
      </c>
      <c r="U102" s="10" t="str">
        <f>IFERROR(INDEX($C$2:$C$301, SUMPRODUCT((($A$2:$A$301='Payslip Template'!$B$2)*($S$2:$S$300=101))*ROW($A$2:$A$301))-1), "")</f>
        <v/>
      </c>
    </row>
    <row r="103" spans="1:21" x14ac:dyDescent="0.25">
      <c r="S103" s="10" t="str">
        <f>IF($A104="","",COUNTIF($A$2:$A104,$A104))</f>
        <v/>
      </c>
      <c r="U103" s="10" t="str">
        <f>IFERROR(INDEX($C$2:$C$301, SUMPRODUCT((($A$2:$A$301='Payslip Template'!$B$2)*($S$2:$S$300=102))*ROW($A$2:$A$301))-1), "")</f>
        <v/>
      </c>
    </row>
    <row r="104" spans="1:21" x14ac:dyDescent="0.25">
      <c r="S104" s="10" t="str">
        <f>IF($A105="","",COUNTIF($A$2:$A105,$A105))</f>
        <v/>
      </c>
      <c r="U104" s="10" t="str">
        <f>IFERROR(INDEX($C$2:$C$301, SUMPRODUCT((($A$2:$A$301='Payslip Template'!$B$2)*($S$2:$S$300=103))*ROW($A$2:$A$301))-1), "")</f>
        <v/>
      </c>
    </row>
    <row r="105" spans="1:21" x14ac:dyDescent="0.25">
      <c r="S105" s="10" t="str">
        <f>IF($A106="","",COUNTIF($A$2:$A106,$A106))</f>
        <v/>
      </c>
      <c r="U105" s="10" t="str">
        <f>IFERROR(INDEX($C$2:$C$301, SUMPRODUCT((($A$2:$A$301='Payslip Template'!$B$2)*($S$2:$S$300=104))*ROW($A$2:$A$301))-1), "")</f>
        <v/>
      </c>
    </row>
    <row r="106" spans="1:21" x14ac:dyDescent="0.25">
      <c r="S106" s="10" t="str">
        <f>IF($A107="","",COUNTIF($A$2:$A107,$A107))</f>
        <v/>
      </c>
      <c r="U106" s="10" t="str">
        <f>IFERROR(INDEX($C$2:$C$301, SUMPRODUCT((($A$2:$A$301='Payslip Template'!$B$2)*($S$2:$S$300=105))*ROW($A$2:$A$301))-1), "")</f>
        <v/>
      </c>
    </row>
    <row r="107" spans="1:21" x14ac:dyDescent="0.25">
      <c r="S107" s="10" t="str">
        <f>IF($A108="","",COUNTIF($A$2:$A108,$A108))</f>
        <v/>
      </c>
      <c r="U107" s="10" t="str">
        <f>IFERROR(INDEX($C$2:$C$301, SUMPRODUCT((($A$2:$A$301='Payslip Template'!$B$2)*($S$2:$S$300=106))*ROW($A$2:$A$301))-1), "")</f>
        <v/>
      </c>
    </row>
    <row r="108" spans="1:21" x14ac:dyDescent="0.25">
      <c r="S108" s="10" t="str">
        <f>IF($A109="","",COUNTIF($A$2:$A109,$A109))</f>
        <v/>
      </c>
      <c r="U108" s="10" t="str">
        <f>IFERROR(INDEX($C$2:$C$301, SUMPRODUCT((($A$2:$A$301='Payslip Template'!$B$2)*($S$2:$S$300=107))*ROW($A$2:$A$301))-1), "")</f>
        <v/>
      </c>
    </row>
    <row r="109" spans="1:21" x14ac:dyDescent="0.25">
      <c r="S109" s="10" t="str">
        <f>IF($A110="","",COUNTIF($A$2:$A110,$A110))</f>
        <v/>
      </c>
      <c r="U109" s="10" t="str">
        <f>IFERROR(INDEX($C$2:$C$301, SUMPRODUCT((($A$2:$A$301='Payslip Template'!$B$2)*($S$2:$S$300=108))*ROW($A$2:$A$301))-1), "")</f>
        <v/>
      </c>
    </row>
    <row r="110" spans="1:21" x14ac:dyDescent="0.25">
      <c r="S110" s="10" t="str">
        <f>IF($A111="","",COUNTIF($A$2:$A111,$A111))</f>
        <v/>
      </c>
      <c r="U110" s="10" t="str">
        <f>IFERROR(INDEX($C$2:$C$301, SUMPRODUCT((($A$2:$A$301='Payslip Template'!$B$2)*($S$2:$S$300=109))*ROW($A$2:$A$301))-1), "")</f>
        <v/>
      </c>
    </row>
    <row r="111" spans="1:21" x14ac:dyDescent="0.25">
      <c r="S111" s="10" t="str">
        <f>IF($A112="","",COUNTIF($A$2:$A112,$A112))</f>
        <v/>
      </c>
      <c r="U111" s="10" t="str">
        <f>IFERROR(INDEX($C$2:$C$301, SUMPRODUCT((($A$2:$A$301='Payslip Template'!$B$2)*($S$2:$S$300=110))*ROW($A$2:$A$301))-1), "")</f>
        <v/>
      </c>
    </row>
    <row r="112" spans="1:21" x14ac:dyDescent="0.25">
      <c r="S112" s="10" t="str">
        <f>IF($A113="","",COUNTIF($A$2:$A113,$A113))</f>
        <v/>
      </c>
      <c r="U112" s="10" t="str">
        <f>IFERROR(INDEX($C$2:$C$301, SUMPRODUCT((($A$2:$A$301='Payslip Template'!$B$2)*($S$2:$S$300=111))*ROW($A$2:$A$301))-1), "")</f>
        <v/>
      </c>
    </row>
    <row r="113" spans="19:21" x14ac:dyDescent="0.25">
      <c r="S113" s="10" t="str">
        <f>IF($A114="","",COUNTIF($A$2:$A114,$A114))</f>
        <v/>
      </c>
      <c r="U113" s="10" t="str">
        <f>IFERROR(INDEX($C$2:$C$301, SUMPRODUCT((($A$2:$A$301='Payslip Template'!$B$2)*($S$2:$S$300=112))*ROW($A$2:$A$301))-1), "")</f>
        <v/>
      </c>
    </row>
    <row r="114" spans="19:21" x14ac:dyDescent="0.25">
      <c r="S114" s="10" t="str">
        <f>IF($A115="","",COUNTIF($A$2:$A115,$A115))</f>
        <v/>
      </c>
      <c r="U114" s="10" t="str">
        <f>IFERROR(INDEX($C$2:$C$301, SUMPRODUCT((($A$2:$A$301='Payslip Template'!$B$2)*($S$2:$S$300=113))*ROW($A$2:$A$301))-1), "")</f>
        <v/>
      </c>
    </row>
    <row r="115" spans="19:21" x14ac:dyDescent="0.25">
      <c r="S115" s="10" t="str">
        <f>IF($A116="","",COUNTIF($A$2:$A116,$A116))</f>
        <v/>
      </c>
      <c r="U115" s="10" t="str">
        <f>IFERROR(INDEX($C$2:$C$301, SUMPRODUCT((($A$2:$A$301='Payslip Template'!$B$2)*($S$2:$S$300=114))*ROW($A$2:$A$301))-1), "")</f>
        <v/>
      </c>
    </row>
    <row r="116" spans="19:21" x14ac:dyDescent="0.25">
      <c r="S116" s="10" t="str">
        <f>IF($A117="","",COUNTIF($A$2:$A117,$A117))</f>
        <v/>
      </c>
      <c r="U116" s="10" t="str">
        <f>IFERROR(INDEX($C$2:$C$301, SUMPRODUCT((($A$2:$A$301='Payslip Template'!$B$2)*($S$2:$S$300=115))*ROW($A$2:$A$301))-1), "")</f>
        <v/>
      </c>
    </row>
    <row r="117" spans="19:21" x14ac:dyDescent="0.25">
      <c r="S117" s="10" t="str">
        <f>IF($A118="","",COUNTIF($A$2:$A118,$A118))</f>
        <v/>
      </c>
      <c r="U117" s="10" t="str">
        <f>IFERROR(INDEX($C$2:$C$301, SUMPRODUCT((($A$2:$A$301='Payslip Template'!$B$2)*($S$2:$S$300=116))*ROW($A$2:$A$301))-1), "")</f>
        <v/>
      </c>
    </row>
    <row r="118" spans="19:21" x14ac:dyDescent="0.25">
      <c r="S118" s="10" t="str">
        <f>IF($A119="","",COUNTIF($A$2:$A119,$A119))</f>
        <v/>
      </c>
      <c r="U118" s="10" t="str">
        <f>IFERROR(INDEX($C$2:$C$301, SUMPRODUCT((($A$2:$A$301='Payslip Template'!$B$2)*($S$2:$S$300=117))*ROW($A$2:$A$301))-1), "")</f>
        <v/>
      </c>
    </row>
    <row r="119" spans="19:21" x14ac:dyDescent="0.25">
      <c r="S119" s="10" t="str">
        <f>IF($A120="","",COUNTIF($A$2:$A120,$A120))</f>
        <v/>
      </c>
      <c r="U119" s="10" t="str">
        <f>IFERROR(INDEX($C$2:$C$301, SUMPRODUCT((($A$2:$A$301='Payslip Template'!$B$2)*($S$2:$S$300=118))*ROW($A$2:$A$301))-1), "")</f>
        <v/>
      </c>
    </row>
    <row r="120" spans="19:21" x14ac:dyDescent="0.25">
      <c r="S120" s="10" t="str">
        <f>IF($A121="","",COUNTIF($A$2:$A121,$A121))</f>
        <v/>
      </c>
      <c r="U120" s="10" t="str">
        <f>IFERROR(INDEX($C$2:$C$301, SUMPRODUCT((($A$2:$A$301='Payslip Template'!$B$2)*($S$2:$S$300=119))*ROW($A$2:$A$301))-1), "")</f>
        <v/>
      </c>
    </row>
    <row r="121" spans="19:21" x14ac:dyDescent="0.25">
      <c r="S121" s="10" t="str">
        <f>IF($A122="","",COUNTIF($A$2:$A122,$A122))</f>
        <v/>
      </c>
      <c r="U121" s="10" t="str">
        <f>IFERROR(INDEX($C$2:$C$301, SUMPRODUCT((($A$2:$A$301='Payslip Template'!$B$2)*($S$2:$S$300=120))*ROW($A$2:$A$301))-1), "")</f>
        <v/>
      </c>
    </row>
    <row r="122" spans="19:21" x14ac:dyDescent="0.25">
      <c r="S122" s="10" t="str">
        <f>IF($A123="","",COUNTIF($A$2:$A123,$A123))</f>
        <v/>
      </c>
      <c r="U122" s="10" t="str">
        <f>IFERROR(INDEX($C$2:$C$301, SUMPRODUCT((($A$2:$A$301='Payslip Template'!$B$2)*($S$2:$S$300=121))*ROW($A$2:$A$301))-1), "")</f>
        <v/>
      </c>
    </row>
    <row r="123" spans="19:21" x14ac:dyDescent="0.25">
      <c r="S123" s="10" t="str">
        <f>IF($A124="","",COUNTIF($A$2:$A124,$A124))</f>
        <v/>
      </c>
      <c r="U123" s="10" t="str">
        <f>IFERROR(INDEX($C$2:$C$301, SUMPRODUCT((($A$2:$A$301='Payslip Template'!$B$2)*($S$2:$S$300=122))*ROW($A$2:$A$301))-1), "")</f>
        <v/>
      </c>
    </row>
    <row r="124" spans="19:21" x14ac:dyDescent="0.25">
      <c r="S124" s="10" t="str">
        <f>IF($A125="","",COUNTIF($A$2:$A125,$A125))</f>
        <v/>
      </c>
      <c r="U124" s="10" t="str">
        <f>IFERROR(INDEX($C$2:$C$301, SUMPRODUCT((($A$2:$A$301='Payslip Template'!$B$2)*($S$2:$S$300=123))*ROW($A$2:$A$301))-1), "")</f>
        <v/>
      </c>
    </row>
    <row r="125" spans="19:21" x14ac:dyDescent="0.25">
      <c r="S125" s="10" t="str">
        <f>IF($A126="","",COUNTIF($A$2:$A126,$A126))</f>
        <v/>
      </c>
      <c r="U125" s="10" t="str">
        <f>IFERROR(INDEX($C$2:$C$301, SUMPRODUCT((($A$2:$A$301='Payslip Template'!$B$2)*($S$2:$S$300=124))*ROW($A$2:$A$301))-1), "")</f>
        <v/>
      </c>
    </row>
    <row r="126" spans="19:21" x14ac:dyDescent="0.25">
      <c r="S126" s="10" t="str">
        <f>IF($A127="","",COUNTIF($A$2:$A127,$A127))</f>
        <v/>
      </c>
      <c r="U126" s="10" t="str">
        <f>IFERROR(INDEX($C$2:$C$301, SUMPRODUCT((($A$2:$A$301='Payslip Template'!$B$2)*($S$2:$S$300=125))*ROW($A$2:$A$301))-1), "")</f>
        <v/>
      </c>
    </row>
    <row r="127" spans="19:21" x14ac:dyDescent="0.25">
      <c r="S127" s="10" t="str">
        <f>IF($A128="","",COUNTIF($A$2:$A128,$A128))</f>
        <v/>
      </c>
      <c r="U127" s="10" t="str">
        <f>IFERROR(INDEX($C$2:$C$301, SUMPRODUCT((($A$2:$A$301='Payslip Template'!$B$2)*($S$2:$S$300=126))*ROW($A$2:$A$301))-1), "")</f>
        <v/>
      </c>
    </row>
    <row r="128" spans="19:21" x14ac:dyDescent="0.25">
      <c r="S128" s="10" t="str">
        <f>IF($A129="","",COUNTIF($A$2:$A129,$A129))</f>
        <v/>
      </c>
      <c r="U128" s="10" t="str">
        <f>IFERROR(INDEX($C$2:$C$301, SUMPRODUCT((($A$2:$A$301='Payslip Template'!$B$2)*($S$2:$S$300=127))*ROW($A$2:$A$301))-1), "")</f>
        <v/>
      </c>
    </row>
    <row r="129" spans="19:21" x14ac:dyDescent="0.25">
      <c r="S129" s="10" t="str">
        <f>IF($A130="","",COUNTIF($A$2:$A130,$A130))</f>
        <v/>
      </c>
      <c r="U129" s="10" t="str">
        <f>IFERROR(INDEX($C$2:$C$301, SUMPRODUCT((($A$2:$A$301='Payslip Template'!$B$2)*($S$2:$S$300=128))*ROW($A$2:$A$301))-1), "")</f>
        <v/>
      </c>
    </row>
    <row r="130" spans="19:21" x14ac:dyDescent="0.25">
      <c r="S130" s="10" t="str">
        <f>IF($A131="","",COUNTIF($A$2:$A131,$A131))</f>
        <v/>
      </c>
      <c r="U130" s="10" t="str">
        <f>IFERROR(INDEX($C$2:$C$301, SUMPRODUCT((($A$2:$A$301='Payslip Template'!$B$2)*($S$2:$S$300=129))*ROW($A$2:$A$301))-1), "")</f>
        <v/>
      </c>
    </row>
    <row r="131" spans="19:21" x14ac:dyDescent="0.25">
      <c r="S131" s="10" t="str">
        <f>IF($A132="","",COUNTIF($A$2:$A132,$A132))</f>
        <v/>
      </c>
      <c r="U131" s="10" t="str">
        <f>IFERROR(INDEX($C$2:$C$301, SUMPRODUCT((($A$2:$A$301='Payslip Template'!$B$2)*($S$2:$S$300=130))*ROW($A$2:$A$301))-1), "")</f>
        <v/>
      </c>
    </row>
    <row r="132" spans="19:21" x14ac:dyDescent="0.25">
      <c r="S132" s="10" t="str">
        <f>IF($A133="","",COUNTIF($A$2:$A133,$A133))</f>
        <v/>
      </c>
      <c r="U132" s="10" t="str">
        <f>IFERROR(INDEX($C$2:$C$301, SUMPRODUCT((($A$2:$A$301='Payslip Template'!$B$2)*($S$2:$S$300=131))*ROW($A$2:$A$301))-1), "")</f>
        <v/>
      </c>
    </row>
    <row r="133" spans="19:21" x14ac:dyDescent="0.25">
      <c r="S133" s="10" t="str">
        <f>IF($A134="","",COUNTIF($A$2:$A134,$A134))</f>
        <v/>
      </c>
      <c r="U133" s="10" t="str">
        <f>IFERROR(INDEX($C$2:$C$301, SUMPRODUCT((($A$2:$A$301='Payslip Template'!$B$2)*($S$2:$S$300=132))*ROW($A$2:$A$301))-1), "")</f>
        <v/>
      </c>
    </row>
    <row r="134" spans="19:21" x14ac:dyDescent="0.25">
      <c r="S134" s="10" t="str">
        <f>IF($A135="","",COUNTIF($A$2:$A135,$A135))</f>
        <v/>
      </c>
      <c r="U134" s="10" t="str">
        <f>IFERROR(INDEX($C$2:$C$301, SUMPRODUCT((($A$2:$A$301='Payslip Template'!$B$2)*($S$2:$S$300=133))*ROW($A$2:$A$301))-1), "")</f>
        <v/>
      </c>
    </row>
    <row r="135" spans="19:21" x14ac:dyDescent="0.25">
      <c r="S135" s="10" t="str">
        <f>IF($A136="","",COUNTIF($A$2:$A136,$A136))</f>
        <v/>
      </c>
      <c r="U135" s="10" t="str">
        <f>IFERROR(INDEX($C$2:$C$301, SUMPRODUCT((($A$2:$A$301='Payslip Template'!$B$2)*($S$2:$S$300=134))*ROW($A$2:$A$301))-1), "")</f>
        <v/>
      </c>
    </row>
    <row r="136" spans="19:21" x14ac:dyDescent="0.25">
      <c r="S136" s="10" t="str">
        <f>IF($A137="","",COUNTIF($A$2:$A137,$A137))</f>
        <v/>
      </c>
      <c r="U136" s="10" t="str">
        <f>IFERROR(INDEX($C$2:$C$301, SUMPRODUCT((($A$2:$A$301='Payslip Template'!$B$2)*($S$2:$S$300=135))*ROW($A$2:$A$301))-1), "")</f>
        <v/>
      </c>
    </row>
    <row r="137" spans="19:21" x14ac:dyDescent="0.25">
      <c r="S137" s="10" t="str">
        <f>IF($A138="","",COUNTIF($A$2:$A138,$A138))</f>
        <v/>
      </c>
      <c r="U137" s="10" t="str">
        <f>IFERROR(INDEX($C$2:$C$301, SUMPRODUCT((($A$2:$A$301='Payslip Template'!$B$2)*($S$2:$S$300=136))*ROW($A$2:$A$301))-1), "")</f>
        <v/>
      </c>
    </row>
    <row r="138" spans="19:21" x14ac:dyDescent="0.25">
      <c r="S138" s="10" t="str">
        <f>IF($A139="","",COUNTIF($A$2:$A139,$A139))</f>
        <v/>
      </c>
      <c r="U138" s="10" t="str">
        <f>IFERROR(INDEX($C$2:$C$301, SUMPRODUCT((($A$2:$A$301='Payslip Template'!$B$2)*($S$2:$S$300=137))*ROW($A$2:$A$301))-1), "")</f>
        <v/>
      </c>
    </row>
    <row r="139" spans="19:21" x14ac:dyDescent="0.25">
      <c r="S139" s="10" t="str">
        <f>IF($A140="","",COUNTIF($A$2:$A140,$A140))</f>
        <v/>
      </c>
      <c r="U139" s="10" t="str">
        <f>IFERROR(INDEX($C$2:$C$301, SUMPRODUCT((($A$2:$A$301='Payslip Template'!$B$2)*($S$2:$S$300=138))*ROW($A$2:$A$301))-1), "")</f>
        <v/>
      </c>
    </row>
    <row r="140" spans="19:21" x14ac:dyDescent="0.25">
      <c r="S140" s="10" t="str">
        <f>IF($A141="","",COUNTIF($A$2:$A141,$A141))</f>
        <v/>
      </c>
      <c r="U140" s="10" t="str">
        <f>IFERROR(INDEX($C$2:$C$301, SUMPRODUCT((($A$2:$A$301='Payslip Template'!$B$2)*($S$2:$S$300=139))*ROW($A$2:$A$301))-1), "")</f>
        <v/>
      </c>
    </row>
    <row r="141" spans="19:21" x14ac:dyDescent="0.25">
      <c r="S141" s="10" t="str">
        <f>IF($A142="","",COUNTIF($A$2:$A142,$A142))</f>
        <v/>
      </c>
      <c r="U141" s="10" t="str">
        <f>IFERROR(INDEX($C$2:$C$301, SUMPRODUCT((($A$2:$A$301='Payslip Template'!$B$2)*($S$2:$S$300=140))*ROW($A$2:$A$301))-1), "")</f>
        <v/>
      </c>
    </row>
    <row r="142" spans="19:21" x14ac:dyDescent="0.25">
      <c r="S142" s="10" t="str">
        <f>IF($A143="","",COUNTIF($A$2:$A143,$A143))</f>
        <v/>
      </c>
      <c r="U142" s="10" t="str">
        <f>IFERROR(INDEX($C$2:$C$301, SUMPRODUCT((($A$2:$A$301='Payslip Template'!$B$2)*($S$2:$S$300=141))*ROW($A$2:$A$301))-1), "")</f>
        <v/>
      </c>
    </row>
    <row r="143" spans="19:21" x14ac:dyDescent="0.25">
      <c r="S143" s="10" t="str">
        <f>IF($A144="","",COUNTIF($A$2:$A144,$A144))</f>
        <v/>
      </c>
      <c r="U143" s="10" t="str">
        <f>IFERROR(INDEX($C$2:$C$301, SUMPRODUCT((($A$2:$A$301='Payslip Template'!$B$2)*($S$2:$S$300=142))*ROW($A$2:$A$301))-1), "")</f>
        <v/>
      </c>
    </row>
    <row r="144" spans="19:21" x14ac:dyDescent="0.25">
      <c r="S144" s="10" t="str">
        <f>IF($A145="","",COUNTIF($A$2:$A145,$A145))</f>
        <v/>
      </c>
      <c r="U144" s="10" t="str">
        <f>IFERROR(INDEX($C$2:$C$301, SUMPRODUCT((($A$2:$A$301='Payslip Template'!$B$2)*($S$2:$S$300=143))*ROW($A$2:$A$301))-1), "")</f>
        <v/>
      </c>
    </row>
    <row r="145" spans="19:21" x14ac:dyDescent="0.25">
      <c r="S145" s="10" t="str">
        <f>IF($A146="","",COUNTIF($A$2:$A146,$A146))</f>
        <v/>
      </c>
      <c r="U145" s="10" t="str">
        <f>IFERROR(INDEX($C$2:$C$301, SUMPRODUCT((($A$2:$A$301='Payslip Template'!$B$2)*($S$2:$S$300=144))*ROW($A$2:$A$301))-1), "")</f>
        <v/>
      </c>
    </row>
    <row r="146" spans="19:21" x14ac:dyDescent="0.25">
      <c r="S146" s="10" t="str">
        <f>IF($A147="","",COUNTIF($A$2:$A147,$A147))</f>
        <v/>
      </c>
      <c r="U146" s="10" t="str">
        <f>IFERROR(INDEX($C$2:$C$301, SUMPRODUCT((($A$2:$A$301='Payslip Template'!$B$2)*($S$2:$S$300=145))*ROW($A$2:$A$301))-1), "")</f>
        <v/>
      </c>
    </row>
    <row r="147" spans="19:21" x14ac:dyDescent="0.25">
      <c r="S147" s="10" t="str">
        <f>IF($A148="","",COUNTIF($A$2:$A148,$A148))</f>
        <v/>
      </c>
      <c r="U147" s="10" t="str">
        <f>IFERROR(INDEX($C$2:$C$301, SUMPRODUCT((($A$2:$A$301='Payslip Template'!$B$2)*($S$2:$S$300=146))*ROW($A$2:$A$301))-1), "")</f>
        <v/>
      </c>
    </row>
    <row r="148" spans="19:21" x14ac:dyDescent="0.25">
      <c r="S148" s="10" t="str">
        <f>IF($A149="","",COUNTIF($A$2:$A149,$A149))</f>
        <v/>
      </c>
      <c r="U148" s="10" t="str">
        <f>IFERROR(INDEX($C$2:$C$301, SUMPRODUCT((($A$2:$A$301='Payslip Template'!$B$2)*($S$2:$S$300=147))*ROW($A$2:$A$301))-1), "")</f>
        <v/>
      </c>
    </row>
    <row r="149" spans="19:21" x14ac:dyDescent="0.25">
      <c r="S149" s="10" t="str">
        <f>IF($A150="","",COUNTIF($A$2:$A150,$A150))</f>
        <v/>
      </c>
      <c r="U149" s="10" t="str">
        <f>IFERROR(INDEX($C$2:$C$301, SUMPRODUCT((($A$2:$A$301='Payslip Template'!$B$2)*($S$2:$S$300=148))*ROW($A$2:$A$301))-1), "")</f>
        <v/>
      </c>
    </row>
    <row r="150" spans="19:21" x14ac:dyDescent="0.25">
      <c r="S150" s="10" t="str">
        <f>IF($A151="","",COUNTIF($A$2:$A151,$A151))</f>
        <v/>
      </c>
      <c r="U150" s="10" t="str">
        <f>IFERROR(INDEX($C$2:$C$301, SUMPRODUCT((($A$2:$A$301='Payslip Template'!$B$2)*($S$2:$S$300=149))*ROW($A$2:$A$301))-1), "")</f>
        <v/>
      </c>
    </row>
    <row r="151" spans="19:21" x14ac:dyDescent="0.25">
      <c r="S151" s="10" t="str">
        <f>IF($A152="","",COUNTIF($A$2:$A152,$A152))</f>
        <v/>
      </c>
      <c r="U151" s="10" t="str">
        <f>IFERROR(INDEX($C$2:$C$301, SUMPRODUCT((($A$2:$A$301='Payslip Template'!$B$2)*($S$2:$S$300=150))*ROW($A$2:$A$301))-1), "")</f>
        <v/>
      </c>
    </row>
    <row r="152" spans="19:21" x14ac:dyDescent="0.25">
      <c r="S152" s="10" t="str">
        <f>IF($A153="","",COUNTIF($A$2:$A153,$A153))</f>
        <v/>
      </c>
      <c r="U152" s="10" t="str">
        <f>IFERROR(INDEX($C$2:$C$301, SUMPRODUCT((($A$2:$A$301='Payslip Template'!$B$2)*($S$2:$S$300=151))*ROW($A$2:$A$301))-1), "")</f>
        <v/>
      </c>
    </row>
    <row r="153" spans="19:21" x14ac:dyDescent="0.25">
      <c r="S153" s="10" t="str">
        <f>IF($A154="","",COUNTIF($A$2:$A154,$A154))</f>
        <v/>
      </c>
      <c r="U153" s="10" t="str">
        <f>IFERROR(INDEX($C$2:$C$301, SUMPRODUCT((($A$2:$A$301='Payslip Template'!$B$2)*($S$2:$S$300=152))*ROW($A$2:$A$301))-1), "")</f>
        <v/>
      </c>
    </row>
    <row r="154" spans="19:21" x14ac:dyDescent="0.25">
      <c r="S154" s="10" t="str">
        <f>IF($A155="","",COUNTIF($A$2:$A155,$A155))</f>
        <v/>
      </c>
      <c r="U154" s="10" t="str">
        <f>IFERROR(INDEX($C$2:$C$301, SUMPRODUCT((($A$2:$A$301='Payslip Template'!$B$2)*($S$2:$S$300=153))*ROW($A$2:$A$301))-1), "")</f>
        <v/>
      </c>
    </row>
    <row r="155" spans="19:21" x14ac:dyDescent="0.25">
      <c r="S155" s="10" t="str">
        <f>IF($A156="","",COUNTIF($A$2:$A156,$A156))</f>
        <v/>
      </c>
      <c r="U155" s="10" t="str">
        <f>IFERROR(INDEX($C$2:$C$301, SUMPRODUCT((($A$2:$A$301='Payslip Template'!$B$2)*($S$2:$S$300=154))*ROW($A$2:$A$301))-1), "")</f>
        <v/>
      </c>
    </row>
    <row r="156" spans="19:21" x14ac:dyDescent="0.25">
      <c r="S156" s="10" t="str">
        <f>IF($A157="","",COUNTIF($A$2:$A157,$A157))</f>
        <v/>
      </c>
      <c r="U156" s="10" t="str">
        <f>IFERROR(INDEX($C$2:$C$301, SUMPRODUCT((($A$2:$A$301='Payslip Template'!$B$2)*($S$2:$S$300=155))*ROW($A$2:$A$301))-1), "")</f>
        <v/>
      </c>
    </row>
    <row r="157" spans="19:21" x14ac:dyDescent="0.25">
      <c r="S157" s="10" t="str">
        <f>IF($A158="","",COUNTIF($A$2:$A158,$A158))</f>
        <v/>
      </c>
      <c r="U157" s="10" t="str">
        <f>IFERROR(INDEX($C$2:$C$301, SUMPRODUCT((($A$2:$A$301='Payslip Template'!$B$2)*($S$2:$S$300=156))*ROW($A$2:$A$301))-1), "")</f>
        <v/>
      </c>
    </row>
    <row r="158" spans="19:21" x14ac:dyDescent="0.25">
      <c r="S158" s="10" t="str">
        <f>IF($A159="","",COUNTIF($A$2:$A159,$A159))</f>
        <v/>
      </c>
      <c r="U158" s="10" t="str">
        <f>IFERROR(INDEX($C$2:$C$301, SUMPRODUCT((($A$2:$A$301='Payslip Template'!$B$2)*($S$2:$S$300=157))*ROW($A$2:$A$301))-1), "")</f>
        <v/>
      </c>
    </row>
    <row r="159" spans="19:21" x14ac:dyDescent="0.25">
      <c r="S159" s="10" t="str">
        <f>IF($A160="","",COUNTIF($A$2:$A160,$A160))</f>
        <v/>
      </c>
      <c r="U159" s="10" t="str">
        <f>IFERROR(INDEX($C$2:$C$301, SUMPRODUCT((($A$2:$A$301='Payslip Template'!$B$2)*($S$2:$S$300=158))*ROW($A$2:$A$301))-1), "")</f>
        <v/>
      </c>
    </row>
    <row r="160" spans="19:21" x14ac:dyDescent="0.25">
      <c r="S160" s="10" t="str">
        <f>IF($A161="","",COUNTIF($A$2:$A161,$A161))</f>
        <v/>
      </c>
      <c r="U160" s="10" t="str">
        <f>IFERROR(INDEX($C$2:$C$301, SUMPRODUCT((($A$2:$A$301='Payslip Template'!$B$2)*($S$2:$S$300=159))*ROW($A$2:$A$301))-1), "")</f>
        <v/>
      </c>
    </row>
    <row r="161" spans="19:21" x14ac:dyDescent="0.25">
      <c r="S161" s="10" t="str">
        <f>IF($A162="","",COUNTIF($A$2:$A162,$A162))</f>
        <v/>
      </c>
      <c r="U161" s="10" t="str">
        <f>IFERROR(INDEX($C$2:$C$301, SUMPRODUCT((($A$2:$A$301='Payslip Template'!$B$2)*($S$2:$S$300=160))*ROW($A$2:$A$301))-1), "")</f>
        <v/>
      </c>
    </row>
    <row r="162" spans="19:21" x14ac:dyDescent="0.25">
      <c r="S162" s="10" t="str">
        <f>IF($A163="","",COUNTIF($A$2:$A163,$A163))</f>
        <v/>
      </c>
      <c r="U162" s="10" t="str">
        <f>IFERROR(INDEX($C$2:$C$301, SUMPRODUCT((($A$2:$A$301='Payslip Template'!$B$2)*($S$2:$S$300=161))*ROW($A$2:$A$301))-1), "")</f>
        <v/>
      </c>
    </row>
    <row r="163" spans="19:21" x14ac:dyDescent="0.25">
      <c r="S163" s="10" t="str">
        <f>IF($A164="","",COUNTIF($A$2:$A164,$A164))</f>
        <v/>
      </c>
      <c r="U163" s="10" t="str">
        <f>IFERROR(INDEX($C$2:$C$301, SUMPRODUCT((($A$2:$A$301='Payslip Template'!$B$2)*($S$2:$S$300=162))*ROW($A$2:$A$301))-1), "")</f>
        <v/>
      </c>
    </row>
    <row r="164" spans="19:21" x14ac:dyDescent="0.25">
      <c r="S164" s="10" t="str">
        <f>IF($A165="","",COUNTIF($A$2:$A165,$A165))</f>
        <v/>
      </c>
      <c r="U164" s="10" t="str">
        <f>IFERROR(INDEX($C$2:$C$301, SUMPRODUCT((($A$2:$A$301='Payslip Template'!$B$2)*($S$2:$S$300=163))*ROW($A$2:$A$301))-1), "")</f>
        <v/>
      </c>
    </row>
    <row r="165" spans="19:21" x14ac:dyDescent="0.25">
      <c r="S165" s="10" t="str">
        <f>IF($A166="","",COUNTIF($A$2:$A166,$A166))</f>
        <v/>
      </c>
      <c r="U165" s="10" t="str">
        <f>IFERROR(INDEX($C$2:$C$301, SUMPRODUCT((($A$2:$A$301='Payslip Template'!$B$2)*($S$2:$S$300=164))*ROW($A$2:$A$301))-1), "")</f>
        <v/>
      </c>
    </row>
    <row r="166" spans="19:21" x14ac:dyDescent="0.25">
      <c r="S166" s="10" t="str">
        <f>IF($A167="","",COUNTIF($A$2:$A167,$A167))</f>
        <v/>
      </c>
      <c r="U166" s="10" t="str">
        <f>IFERROR(INDEX($C$2:$C$301, SUMPRODUCT((($A$2:$A$301='Payslip Template'!$B$2)*($S$2:$S$300=165))*ROW($A$2:$A$301))-1), "")</f>
        <v/>
      </c>
    </row>
    <row r="167" spans="19:21" x14ac:dyDescent="0.25">
      <c r="S167" s="10" t="str">
        <f>IF($A168="","",COUNTIF($A$2:$A168,$A168))</f>
        <v/>
      </c>
      <c r="U167" s="10" t="str">
        <f>IFERROR(INDEX($C$2:$C$301, SUMPRODUCT((($A$2:$A$301='Payslip Template'!$B$2)*($S$2:$S$300=166))*ROW($A$2:$A$301))-1), "")</f>
        <v/>
      </c>
    </row>
    <row r="168" spans="19:21" x14ac:dyDescent="0.25">
      <c r="S168" s="10" t="str">
        <f>IF($A169="","",COUNTIF($A$2:$A169,$A169))</f>
        <v/>
      </c>
      <c r="U168" s="10" t="str">
        <f>IFERROR(INDEX($C$2:$C$301, SUMPRODUCT((($A$2:$A$301='Payslip Template'!$B$2)*($S$2:$S$300=167))*ROW($A$2:$A$301))-1), "")</f>
        <v/>
      </c>
    </row>
    <row r="169" spans="19:21" x14ac:dyDescent="0.25">
      <c r="S169" s="10" t="str">
        <f>IF($A170="","",COUNTIF($A$2:$A170,$A170))</f>
        <v/>
      </c>
      <c r="U169" s="10" t="str">
        <f>IFERROR(INDEX($C$2:$C$301, SUMPRODUCT((($A$2:$A$301='Payslip Template'!$B$2)*($S$2:$S$300=168))*ROW($A$2:$A$301))-1), "")</f>
        <v/>
      </c>
    </row>
    <row r="170" spans="19:21" x14ac:dyDescent="0.25">
      <c r="S170" s="10" t="str">
        <f>IF($A171="","",COUNTIF($A$2:$A171,$A171))</f>
        <v/>
      </c>
      <c r="U170" s="10" t="str">
        <f>IFERROR(INDEX($C$2:$C$301, SUMPRODUCT((($A$2:$A$301='Payslip Template'!$B$2)*($S$2:$S$300=169))*ROW($A$2:$A$301))-1), "")</f>
        <v/>
      </c>
    </row>
    <row r="171" spans="19:21" x14ac:dyDescent="0.25">
      <c r="S171" s="10" t="str">
        <f>IF($A172="","",COUNTIF($A$2:$A172,$A172))</f>
        <v/>
      </c>
      <c r="U171" s="10" t="str">
        <f>IFERROR(INDEX($C$2:$C$301, SUMPRODUCT((($A$2:$A$301='Payslip Template'!$B$2)*($S$2:$S$300=170))*ROW($A$2:$A$301))-1), "")</f>
        <v/>
      </c>
    </row>
    <row r="172" spans="19:21" x14ac:dyDescent="0.25">
      <c r="S172" s="10" t="str">
        <f>IF($A173="","",COUNTIF($A$2:$A173,$A173))</f>
        <v/>
      </c>
      <c r="U172" s="10" t="str">
        <f>IFERROR(INDEX($C$2:$C$301, SUMPRODUCT((($A$2:$A$301='Payslip Template'!$B$2)*($S$2:$S$300=171))*ROW($A$2:$A$301))-1), "")</f>
        <v/>
      </c>
    </row>
    <row r="173" spans="19:21" x14ac:dyDescent="0.25">
      <c r="S173" s="10" t="str">
        <f>IF($A174="","",COUNTIF($A$2:$A174,$A174))</f>
        <v/>
      </c>
      <c r="U173" s="10" t="str">
        <f>IFERROR(INDEX($C$2:$C$301, SUMPRODUCT((($A$2:$A$301='Payslip Template'!$B$2)*($S$2:$S$300=172))*ROW($A$2:$A$301))-1), "")</f>
        <v/>
      </c>
    </row>
    <row r="174" spans="19:21" x14ac:dyDescent="0.25">
      <c r="S174" s="10" t="str">
        <f>IF($A175="","",COUNTIF($A$2:$A175,$A175))</f>
        <v/>
      </c>
      <c r="U174" s="10" t="str">
        <f>IFERROR(INDEX($C$2:$C$301, SUMPRODUCT((($A$2:$A$301='Payslip Template'!$B$2)*($S$2:$S$300=173))*ROW($A$2:$A$301))-1), "")</f>
        <v/>
      </c>
    </row>
    <row r="175" spans="19:21" x14ac:dyDescent="0.25">
      <c r="S175" s="10" t="str">
        <f>IF($A176="","",COUNTIF($A$2:$A176,$A176))</f>
        <v/>
      </c>
      <c r="U175" s="10" t="str">
        <f>IFERROR(INDEX($C$2:$C$301, SUMPRODUCT((($A$2:$A$301='Payslip Template'!$B$2)*($S$2:$S$300=174))*ROW($A$2:$A$301))-1), "")</f>
        <v/>
      </c>
    </row>
    <row r="176" spans="19:21" x14ac:dyDescent="0.25">
      <c r="S176" s="10" t="str">
        <f>IF($A177="","",COUNTIF($A$2:$A177,$A177))</f>
        <v/>
      </c>
      <c r="U176" s="10" t="str">
        <f>IFERROR(INDEX($C$2:$C$301, SUMPRODUCT((($A$2:$A$301='Payslip Template'!$B$2)*($S$2:$S$300=175))*ROW($A$2:$A$301))-1), "")</f>
        <v/>
      </c>
    </row>
    <row r="177" spans="19:21" x14ac:dyDescent="0.25">
      <c r="S177" s="10" t="str">
        <f>IF($A178="","",COUNTIF($A$2:$A178,$A178))</f>
        <v/>
      </c>
      <c r="U177" s="10" t="str">
        <f>IFERROR(INDEX($C$2:$C$301, SUMPRODUCT((($A$2:$A$301='Payslip Template'!$B$2)*($S$2:$S$300=176))*ROW($A$2:$A$301))-1), "")</f>
        <v/>
      </c>
    </row>
    <row r="178" spans="19:21" x14ac:dyDescent="0.25">
      <c r="S178" s="10" t="str">
        <f>IF($A179="","",COUNTIF($A$2:$A179,$A179))</f>
        <v/>
      </c>
      <c r="U178" s="10" t="str">
        <f>IFERROR(INDEX($C$2:$C$301, SUMPRODUCT((($A$2:$A$301='Payslip Template'!$B$2)*($S$2:$S$300=177))*ROW($A$2:$A$301))-1), "")</f>
        <v/>
      </c>
    </row>
    <row r="179" spans="19:21" x14ac:dyDescent="0.25">
      <c r="S179" s="10" t="str">
        <f>IF($A180="","",COUNTIF($A$2:$A180,$A180))</f>
        <v/>
      </c>
      <c r="U179" s="10" t="str">
        <f>IFERROR(INDEX($C$2:$C$301, SUMPRODUCT((($A$2:$A$301='Payslip Template'!$B$2)*($S$2:$S$300=178))*ROW($A$2:$A$301))-1), "")</f>
        <v/>
      </c>
    </row>
    <row r="180" spans="19:21" x14ac:dyDescent="0.25">
      <c r="S180" s="10" t="str">
        <f>IF($A181="","",COUNTIF($A$2:$A181,$A181))</f>
        <v/>
      </c>
      <c r="U180" s="10" t="str">
        <f>IFERROR(INDEX($C$2:$C$301, SUMPRODUCT((($A$2:$A$301='Payslip Template'!$B$2)*($S$2:$S$300=179))*ROW($A$2:$A$301))-1), "")</f>
        <v/>
      </c>
    </row>
    <row r="181" spans="19:21" x14ac:dyDescent="0.25">
      <c r="S181" s="10" t="str">
        <f>IF($A182="","",COUNTIF($A$2:$A182,$A182))</f>
        <v/>
      </c>
      <c r="U181" s="10" t="str">
        <f>IFERROR(INDEX($C$2:$C$301, SUMPRODUCT((($A$2:$A$301='Payslip Template'!$B$2)*($S$2:$S$300=180))*ROW($A$2:$A$301))-1), "")</f>
        <v/>
      </c>
    </row>
    <row r="182" spans="19:21" x14ac:dyDescent="0.25">
      <c r="S182" s="10" t="str">
        <f>IF($A183="","",COUNTIF($A$2:$A183,$A183))</f>
        <v/>
      </c>
      <c r="U182" s="10" t="str">
        <f>IFERROR(INDEX($C$2:$C$301, SUMPRODUCT((($A$2:$A$301='Payslip Template'!$B$2)*($S$2:$S$300=181))*ROW($A$2:$A$301))-1), "")</f>
        <v/>
      </c>
    </row>
    <row r="183" spans="19:21" x14ac:dyDescent="0.25">
      <c r="S183" s="10" t="str">
        <f>IF($A184="","",COUNTIF($A$2:$A184,$A184))</f>
        <v/>
      </c>
      <c r="U183" s="10" t="str">
        <f>IFERROR(INDEX($C$2:$C$301, SUMPRODUCT((($A$2:$A$301='Payslip Template'!$B$2)*($S$2:$S$300=182))*ROW($A$2:$A$301))-1), "")</f>
        <v/>
      </c>
    </row>
    <row r="184" spans="19:21" x14ac:dyDescent="0.25">
      <c r="S184" s="10" t="str">
        <f>IF($A185="","",COUNTIF($A$2:$A185,$A185))</f>
        <v/>
      </c>
      <c r="U184" s="10" t="str">
        <f>IFERROR(INDEX($C$2:$C$301, SUMPRODUCT((($A$2:$A$301='Payslip Template'!$B$2)*($S$2:$S$300=183))*ROW($A$2:$A$301))-1), "")</f>
        <v/>
      </c>
    </row>
    <row r="185" spans="19:21" x14ac:dyDescent="0.25">
      <c r="S185" s="10" t="str">
        <f>IF($A186="","",COUNTIF($A$2:$A186,$A186))</f>
        <v/>
      </c>
      <c r="U185" s="10" t="str">
        <f>IFERROR(INDEX($C$2:$C$301, SUMPRODUCT((($A$2:$A$301='Payslip Template'!$B$2)*($S$2:$S$300=184))*ROW($A$2:$A$301))-1), "")</f>
        <v/>
      </c>
    </row>
    <row r="186" spans="19:21" x14ac:dyDescent="0.25">
      <c r="S186" s="10" t="str">
        <f>IF($A187="","",COUNTIF($A$2:$A187,$A187))</f>
        <v/>
      </c>
      <c r="U186" s="10" t="str">
        <f>IFERROR(INDEX($C$2:$C$301, SUMPRODUCT((($A$2:$A$301='Payslip Template'!$B$2)*($S$2:$S$300=185))*ROW($A$2:$A$301))-1), "")</f>
        <v/>
      </c>
    </row>
    <row r="187" spans="19:21" x14ac:dyDescent="0.25">
      <c r="S187" s="10" t="str">
        <f>IF($A188="","",COUNTIF($A$2:$A188,$A188))</f>
        <v/>
      </c>
      <c r="U187" s="10" t="str">
        <f>IFERROR(INDEX($C$2:$C$301, SUMPRODUCT((($A$2:$A$301='Payslip Template'!$B$2)*($S$2:$S$300=186))*ROW($A$2:$A$301))-1), "")</f>
        <v/>
      </c>
    </row>
    <row r="188" spans="19:21" x14ac:dyDescent="0.25">
      <c r="S188" s="10" t="str">
        <f>IF($A189="","",COUNTIF($A$2:$A189,$A189))</f>
        <v/>
      </c>
      <c r="U188" s="10" t="str">
        <f>IFERROR(INDEX($C$2:$C$301, SUMPRODUCT((($A$2:$A$301='Payslip Template'!$B$2)*($S$2:$S$300=187))*ROW($A$2:$A$301))-1), "")</f>
        <v/>
      </c>
    </row>
    <row r="189" spans="19:21" x14ac:dyDescent="0.25">
      <c r="S189" s="10" t="str">
        <f>IF($A190="","",COUNTIF($A$2:$A190,$A190))</f>
        <v/>
      </c>
      <c r="U189" s="10" t="str">
        <f>IFERROR(INDEX($C$2:$C$301, SUMPRODUCT((($A$2:$A$301='Payslip Template'!$B$2)*($S$2:$S$300=188))*ROW($A$2:$A$301))-1), "")</f>
        <v/>
      </c>
    </row>
    <row r="190" spans="19:21" x14ac:dyDescent="0.25">
      <c r="S190" s="10" t="str">
        <f>IF($A191="","",COUNTIF($A$2:$A191,$A191))</f>
        <v/>
      </c>
      <c r="U190" s="10" t="str">
        <f>IFERROR(INDEX($C$2:$C$301, SUMPRODUCT((($A$2:$A$301='Payslip Template'!$B$2)*($S$2:$S$300=189))*ROW($A$2:$A$301))-1), "")</f>
        <v/>
      </c>
    </row>
    <row r="191" spans="19:21" x14ac:dyDescent="0.25">
      <c r="S191" s="10" t="str">
        <f>IF($A192="","",COUNTIF($A$2:$A192,$A192))</f>
        <v/>
      </c>
      <c r="U191" s="10" t="str">
        <f>IFERROR(INDEX($C$2:$C$301, SUMPRODUCT((($A$2:$A$301='Payslip Template'!$B$2)*($S$2:$S$300=190))*ROW($A$2:$A$301))-1), "")</f>
        <v/>
      </c>
    </row>
    <row r="192" spans="19:21" x14ac:dyDescent="0.25">
      <c r="S192" s="10" t="str">
        <f>IF($A193="","",COUNTIF($A$2:$A193,$A193))</f>
        <v/>
      </c>
      <c r="U192" s="10" t="str">
        <f>IFERROR(INDEX($C$2:$C$301, SUMPRODUCT((($A$2:$A$301='Payslip Template'!$B$2)*($S$2:$S$300=191))*ROW($A$2:$A$301))-1), "")</f>
        <v/>
      </c>
    </row>
    <row r="193" spans="19:21" x14ac:dyDescent="0.25">
      <c r="S193" s="10" t="str">
        <f>IF($A194="","",COUNTIF($A$2:$A194,$A194))</f>
        <v/>
      </c>
      <c r="U193" s="10" t="str">
        <f>IFERROR(INDEX($C$2:$C$301, SUMPRODUCT((($A$2:$A$301='Payslip Template'!$B$2)*($S$2:$S$300=192))*ROW($A$2:$A$301))-1), "")</f>
        <v/>
      </c>
    </row>
    <row r="194" spans="19:21" x14ac:dyDescent="0.25">
      <c r="S194" s="10" t="str">
        <f>IF($A195="","",COUNTIF($A$2:$A195,$A195))</f>
        <v/>
      </c>
      <c r="U194" s="10" t="str">
        <f>IFERROR(INDEX($C$2:$C$301, SUMPRODUCT((($A$2:$A$301='Payslip Template'!$B$2)*($S$2:$S$300=193))*ROW($A$2:$A$301))-1), "")</f>
        <v/>
      </c>
    </row>
    <row r="195" spans="19:21" x14ac:dyDescent="0.25">
      <c r="S195" s="10" t="str">
        <f>IF($A196="","",COUNTIF($A$2:$A196,$A196))</f>
        <v/>
      </c>
      <c r="U195" s="10" t="str">
        <f>IFERROR(INDEX($C$2:$C$301, SUMPRODUCT((($A$2:$A$301='Payslip Template'!$B$2)*($S$2:$S$300=194))*ROW($A$2:$A$301))-1), "")</f>
        <v/>
      </c>
    </row>
    <row r="196" spans="19:21" x14ac:dyDescent="0.25">
      <c r="S196" s="10" t="str">
        <f>IF($A197="","",COUNTIF($A$2:$A197,$A197))</f>
        <v/>
      </c>
      <c r="U196" s="10" t="str">
        <f>IFERROR(INDEX($C$2:$C$301, SUMPRODUCT((($A$2:$A$301='Payslip Template'!$B$2)*($S$2:$S$300=195))*ROW($A$2:$A$301))-1), "")</f>
        <v/>
      </c>
    </row>
    <row r="197" spans="19:21" x14ac:dyDescent="0.25">
      <c r="S197" s="10" t="str">
        <f>IF($A198="","",COUNTIF($A$2:$A198,$A198))</f>
        <v/>
      </c>
      <c r="U197" s="10" t="str">
        <f>IFERROR(INDEX($C$2:$C$301, SUMPRODUCT((($A$2:$A$301='Payslip Template'!$B$2)*($S$2:$S$300=196))*ROW($A$2:$A$301))-1), "")</f>
        <v/>
      </c>
    </row>
    <row r="198" spans="19:21" x14ac:dyDescent="0.25">
      <c r="S198" s="10" t="str">
        <f>IF($A199="","",COUNTIF($A$2:$A199,$A199))</f>
        <v/>
      </c>
      <c r="U198" s="10" t="str">
        <f>IFERROR(INDEX($C$2:$C$301, SUMPRODUCT((($A$2:$A$301='Payslip Template'!$B$2)*($S$2:$S$300=197))*ROW($A$2:$A$301))-1), "")</f>
        <v/>
      </c>
    </row>
    <row r="199" spans="19:21" x14ac:dyDescent="0.25">
      <c r="S199" s="10" t="str">
        <f>IF($A200="","",COUNTIF($A$2:$A200,$A200))</f>
        <v/>
      </c>
      <c r="U199" s="10" t="str">
        <f>IFERROR(INDEX($C$2:$C$301, SUMPRODUCT((($A$2:$A$301='Payslip Template'!$B$2)*($S$2:$S$300=198))*ROW($A$2:$A$301))-1), "")</f>
        <v/>
      </c>
    </row>
    <row r="200" spans="19:21" x14ac:dyDescent="0.25">
      <c r="S200" s="10" t="str">
        <f>IF($A201="","",COUNTIF($A$2:$A201,$A201))</f>
        <v/>
      </c>
      <c r="U200" s="10" t="str">
        <f>IFERROR(INDEX($C$2:$C$301, SUMPRODUCT((($A$2:$A$301='Payslip Template'!$B$2)*($S$2:$S$300=199))*ROW($A$2:$A$301))-1), "")</f>
        <v/>
      </c>
    </row>
    <row r="201" spans="19:21" x14ac:dyDescent="0.25">
      <c r="S201" s="10" t="str">
        <f>IF($A202="","",COUNTIF($A$2:$A202,$A202))</f>
        <v/>
      </c>
      <c r="U201" s="10" t="str">
        <f>IFERROR(INDEX($C$2:$C$301, SUMPRODUCT((($A$2:$A$301='Payslip Template'!$B$2)*($S$2:$S$300=200))*ROW($A$2:$A$301))-1), "")</f>
        <v/>
      </c>
    </row>
    <row r="202" spans="19:21" x14ac:dyDescent="0.25">
      <c r="S202" s="10" t="str">
        <f>IF($A203="","",COUNTIF($A$2:$A203,$A203))</f>
        <v/>
      </c>
      <c r="U202" s="10" t="str">
        <f>IFERROR(INDEX($C$2:$C$301, SUMPRODUCT((($A$2:$A$301='Payslip Template'!$B$2)*($S$2:$S$300=201))*ROW($A$2:$A$301))-1), "")</f>
        <v/>
      </c>
    </row>
    <row r="203" spans="19:21" x14ac:dyDescent="0.25">
      <c r="S203" s="10" t="str">
        <f>IF($A204="","",COUNTIF($A$2:$A204,$A204))</f>
        <v/>
      </c>
      <c r="U203" s="10" t="str">
        <f>IFERROR(INDEX($C$2:$C$301, SUMPRODUCT((($A$2:$A$301='Payslip Template'!$B$2)*($S$2:$S$300=202))*ROW($A$2:$A$301))-1), "")</f>
        <v/>
      </c>
    </row>
    <row r="204" spans="19:21" x14ac:dyDescent="0.25">
      <c r="S204" s="10" t="str">
        <f>IF($A205="","",COUNTIF($A$2:$A205,$A205))</f>
        <v/>
      </c>
      <c r="U204" s="10" t="str">
        <f>IFERROR(INDEX($C$2:$C$301, SUMPRODUCT((($A$2:$A$301='Payslip Template'!$B$2)*($S$2:$S$300=203))*ROW($A$2:$A$301))-1), "")</f>
        <v/>
      </c>
    </row>
    <row r="205" spans="19:21" x14ac:dyDescent="0.25">
      <c r="S205" s="10" t="str">
        <f>IF($A206="","",COUNTIF($A$2:$A206,$A206))</f>
        <v/>
      </c>
      <c r="U205" s="10" t="str">
        <f>IFERROR(INDEX($C$2:$C$301, SUMPRODUCT((($A$2:$A$301='Payslip Template'!$B$2)*($S$2:$S$300=204))*ROW($A$2:$A$301))-1), "")</f>
        <v/>
      </c>
    </row>
    <row r="206" spans="19:21" x14ac:dyDescent="0.25">
      <c r="S206" s="10" t="str">
        <f>IF($A207="","",COUNTIF($A$2:$A207,$A207))</f>
        <v/>
      </c>
      <c r="U206" s="10" t="str">
        <f>IFERROR(INDEX($C$2:$C$301, SUMPRODUCT((($A$2:$A$301='Payslip Template'!$B$2)*($S$2:$S$300=205))*ROW($A$2:$A$301))-1), "")</f>
        <v/>
      </c>
    </row>
    <row r="207" spans="19:21" x14ac:dyDescent="0.25">
      <c r="S207" s="10" t="str">
        <f>IF($A208="","",COUNTIF($A$2:$A208,$A208))</f>
        <v/>
      </c>
      <c r="U207" s="10" t="str">
        <f>IFERROR(INDEX($C$2:$C$301, SUMPRODUCT((($A$2:$A$301='Payslip Template'!$B$2)*($S$2:$S$300=206))*ROW($A$2:$A$301))-1), "")</f>
        <v/>
      </c>
    </row>
    <row r="208" spans="19:21" x14ac:dyDescent="0.25">
      <c r="S208" s="10" t="str">
        <f>IF($A209="","",COUNTIF($A$2:$A209,$A209))</f>
        <v/>
      </c>
      <c r="U208" s="10" t="str">
        <f>IFERROR(INDEX($C$2:$C$301, SUMPRODUCT((($A$2:$A$301='Payslip Template'!$B$2)*($S$2:$S$300=207))*ROW($A$2:$A$301))-1), "")</f>
        <v/>
      </c>
    </row>
    <row r="209" spans="19:21" x14ac:dyDescent="0.25">
      <c r="S209" s="10" t="str">
        <f>IF($A210="","",COUNTIF($A$2:$A210,$A210))</f>
        <v/>
      </c>
      <c r="U209" s="10" t="str">
        <f>IFERROR(INDEX($C$2:$C$301, SUMPRODUCT((($A$2:$A$301='Payslip Template'!$B$2)*($S$2:$S$300=208))*ROW($A$2:$A$301))-1), "")</f>
        <v/>
      </c>
    </row>
    <row r="210" spans="19:21" x14ac:dyDescent="0.25">
      <c r="S210" s="10" t="str">
        <f>IF($A211="","",COUNTIF($A$2:$A211,$A211))</f>
        <v/>
      </c>
      <c r="U210" s="10" t="str">
        <f>IFERROR(INDEX($C$2:$C$301, SUMPRODUCT((($A$2:$A$301='Payslip Template'!$B$2)*($S$2:$S$300=209))*ROW($A$2:$A$301))-1), "")</f>
        <v/>
      </c>
    </row>
    <row r="211" spans="19:21" x14ac:dyDescent="0.25">
      <c r="S211" s="10" t="str">
        <f>IF($A212="","",COUNTIF($A$2:$A212,$A212))</f>
        <v/>
      </c>
      <c r="U211" s="10" t="str">
        <f>IFERROR(INDEX($C$2:$C$301, SUMPRODUCT((($A$2:$A$301='Payslip Template'!$B$2)*($S$2:$S$300=210))*ROW($A$2:$A$301))-1), "")</f>
        <v/>
      </c>
    </row>
    <row r="212" spans="19:21" x14ac:dyDescent="0.25">
      <c r="S212" s="10" t="str">
        <f>IF($A213="","",COUNTIF($A$2:$A213,$A213))</f>
        <v/>
      </c>
      <c r="U212" s="10" t="str">
        <f>IFERROR(INDEX($C$2:$C$301, SUMPRODUCT((($A$2:$A$301='Payslip Template'!$B$2)*($S$2:$S$300=211))*ROW($A$2:$A$301))-1), "")</f>
        <v/>
      </c>
    </row>
    <row r="213" spans="19:21" x14ac:dyDescent="0.25">
      <c r="S213" s="10" t="str">
        <f>IF($A214="","",COUNTIF($A$2:$A214,$A214))</f>
        <v/>
      </c>
      <c r="U213" s="10" t="str">
        <f>IFERROR(INDEX($C$2:$C$301, SUMPRODUCT((($A$2:$A$301='Payslip Template'!$B$2)*($S$2:$S$300=212))*ROW($A$2:$A$301))-1), "")</f>
        <v/>
      </c>
    </row>
    <row r="214" spans="19:21" x14ac:dyDescent="0.25">
      <c r="S214" s="10" t="str">
        <f>IF($A215="","",COUNTIF($A$2:$A215,$A215))</f>
        <v/>
      </c>
      <c r="U214" s="10" t="str">
        <f>IFERROR(INDEX($C$2:$C$301, SUMPRODUCT((($A$2:$A$301='Payslip Template'!$B$2)*($S$2:$S$300=213))*ROW($A$2:$A$301))-1), "")</f>
        <v/>
      </c>
    </row>
    <row r="215" spans="19:21" x14ac:dyDescent="0.25">
      <c r="S215" s="10" t="str">
        <f>IF($A216="","",COUNTIF($A$2:$A216,$A216))</f>
        <v/>
      </c>
      <c r="U215" s="10" t="str">
        <f>IFERROR(INDEX($C$2:$C$301, SUMPRODUCT((($A$2:$A$301='Payslip Template'!$B$2)*($S$2:$S$300=214))*ROW($A$2:$A$301))-1), "")</f>
        <v/>
      </c>
    </row>
    <row r="216" spans="19:21" x14ac:dyDescent="0.25">
      <c r="S216" s="10" t="str">
        <f>IF($A217="","",COUNTIF($A$2:$A217,$A217))</f>
        <v/>
      </c>
      <c r="U216" s="10" t="str">
        <f>IFERROR(INDEX($C$2:$C$301, SUMPRODUCT((($A$2:$A$301='Payslip Template'!$B$2)*($S$2:$S$300=215))*ROW($A$2:$A$301))-1), "")</f>
        <v/>
      </c>
    </row>
    <row r="217" spans="19:21" x14ac:dyDescent="0.25">
      <c r="S217" s="10" t="str">
        <f>IF($A218="","",COUNTIF($A$2:$A218,$A218))</f>
        <v/>
      </c>
      <c r="U217" s="10" t="str">
        <f>IFERROR(INDEX($C$2:$C$301, SUMPRODUCT((($A$2:$A$301='Payslip Template'!$B$2)*($S$2:$S$300=216))*ROW($A$2:$A$301))-1), "")</f>
        <v/>
      </c>
    </row>
    <row r="218" spans="19:21" x14ac:dyDescent="0.25">
      <c r="S218" s="10" t="str">
        <f>IF($A219="","",COUNTIF($A$2:$A219,$A219))</f>
        <v/>
      </c>
      <c r="U218" s="10" t="str">
        <f>IFERROR(INDEX($C$2:$C$301, SUMPRODUCT((($A$2:$A$301='Payslip Template'!$B$2)*($S$2:$S$300=217))*ROW($A$2:$A$301))-1), "")</f>
        <v/>
      </c>
    </row>
    <row r="219" spans="19:21" x14ac:dyDescent="0.25">
      <c r="S219" s="10" t="str">
        <f>IF($A220="","",COUNTIF($A$2:$A220,$A220))</f>
        <v/>
      </c>
      <c r="U219" s="10" t="str">
        <f>IFERROR(INDEX($C$2:$C$301, SUMPRODUCT((($A$2:$A$301='Payslip Template'!$B$2)*($S$2:$S$300=218))*ROW($A$2:$A$301))-1), "")</f>
        <v/>
      </c>
    </row>
    <row r="220" spans="19:21" x14ac:dyDescent="0.25">
      <c r="S220" s="10" t="str">
        <f>IF($A221="","",COUNTIF($A$2:$A221,$A221))</f>
        <v/>
      </c>
      <c r="U220" s="10" t="str">
        <f>IFERROR(INDEX($C$2:$C$301, SUMPRODUCT((($A$2:$A$301='Payslip Template'!$B$2)*($S$2:$S$300=219))*ROW($A$2:$A$301))-1), "")</f>
        <v/>
      </c>
    </row>
    <row r="221" spans="19:21" x14ac:dyDescent="0.25">
      <c r="S221" s="10" t="str">
        <f>IF($A222="","",COUNTIF($A$2:$A222,$A222))</f>
        <v/>
      </c>
      <c r="U221" s="10" t="str">
        <f>IFERROR(INDEX($C$2:$C$301, SUMPRODUCT((($A$2:$A$301='Payslip Template'!$B$2)*($S$2:$S$300=220))*ROW($A$2:$A$301))-1), "")</f>
        <v/>
      </c>
    </row>
    <row r="222" spans="19:21" x14ac:dyDescent="0.25">
      <c r="S222" s="10" t="str">
        <f>IF($A223="","",COUNTIF($A$2:$A223,$A223))</f>
        <v/>
      </c>
      <c r="U222" s="10" t="str">
        <f>IFERROR(INDEX($C$2:$C$301, SUMPRODUCT((($A$2:$A$301='Payslip Template'!$B$2)*($S$2:$S$300=221))*ROW($A$2:$A$301))-1), "")</f>
        <v/>
      </c>
    </row>
    <row r="223" spans="19:21" x14ac:dyDescent="0.25">
      <c r="S223" s="10" t="str">
        <f>IF($A224="","",COUNTIF($A$2:$A224,$A224))</f>
        <v/>
      </c>
      <c r="U223" s="10" t="str">
        <f>IFERROR(INDEX($C$2:$C$301, SUMPRODUCT((($A$2:$A$301='Payslip Template'!$B$2)*($S$2:$S$300=222))*ROW($A$2:$A$301))-1), "")</f>
        <v/>
      </c>
    </row>
    <row r="224" spans="19:21" x14ac:dyDescent="0.25">
      <c r="S224" s="10" t="str">
        <f>IF($A225="","",COUNTIF($A$2:$A225,$A225))</f>
        <v/>
      </c>
      <c r="U224" s="10" t="str">
        <f>IFERROR(INDEX($C$2:$C$301, SUMPRODUCT((($A$2:$A$301='Payslip Template'!$B$2)*($S$2:$S$300=223))*ROW($A$2:$A$301))-1), "")</f>
        <v/>
      </c>
    </row>
    <row r="225" spans="19:21" x14ac:dyDescent="0.25">
      <c r="S225" s="10" t="str">
        <f>IF($A226="","",COUNTIF($A$2:$A226,$A226))</f>
        <v/>
      </c>
      <c r="U225" s="10" t="str">
        <f>IFERROR(INDEX($C$2:$C$301, SUMPRODUCT((($A$2:$A$301='Payslip Template'!$B$2)*($S$2:$S$300=224))*ROW($A$2:$A$301))-1), "")</f>
        <v/>
      </c>
    </row>
    <row r="226" spans="19:21" x14ac:dyDescent="0.25">
      <c r="S226" s="10" t="str">
        <f>IF($A227="","",COUNTIF($A$2:$A227,$A227))</f>
        <v/>
      </c>
      <c r="U226" s="10" t="str">
        <f>IFERROR(INDEX($C$2:$C$301, SUMPRODUCT((($A$2:$A$301='Payslip Template'!$B$2)*($S$2:$S$300=225))*ROW($A$2:$A$301))-1), "")</f>
        <v/>
      </c>
    </row>
    <row r="227" spans="19:21" x14ac:dyDescent="0.25">
      <c r="S227" s="10" t="str">
        <f>IF($A228="","",COUNTIF($A$2:$A228,$A228))</f>
        <v/>
      </c>
      <c r="U227" s="10" t="str">
        <f>IFERROR(INDEX($C$2:$C$301, SUMPRODUCT((($A$2:$A$301='Payslip Template'!$B$2)*($S$2:$S$300=226))*ROW($A$2:$A$301))-1), "")</f>
        <v/>
      </c>
    </row>
    <row r="228" spans="19:21" x14ac:dyDescent="0.25">
      <c r="S228" s="10" t="str">
        <f>IF($A229="","",COUNTIF($A$2:$A229,$A229))</f>
        <v/>
      </c>
      <c r="U228" s="10" t="str">
        <f>IFERROR(INDEX($C$2:$C$301, SUMPRODUCT((($A$2:$A$301='Payslip Template'!$B$2)*($S$2:$S$300=227))*ROW($A$2:$A$301))-1), "")</f>
        <v/>
      </c>
    </row>
    <row r="229" spans="19:21" x14ac:dyDescent="0.25">
      <c r="S229" s="10" t="str">
        <f>IF($A230="","",COUNTIF($A$2:$A230,$A230))</f>
        <v/>
      </c>
      <c r="U229" s="10" t="str">
        <f>IFERROR(INDEX($C$2:$C$301, SUMPRODUCT((($A$2:$A$301='Payslip Template'!$B$2)*($S$2:$S$300=228))*ROW($A$2:$A$301))-1), "")</f>
        <v/>
      </c>
    </row>
    <row r="230" spans="19:21" x14ac:dyDescent="0.25">
      <c r="S230" s="10" t="str">
        <f>IF($A231="","",COUNTIF($A$2:$A231,$A231))</f>
        <v/>
      </c>
      <c r="U230" s="10" t="str">
        <f>IFERROR(INDEX($C$2:$C$301, SUMPRODUCT((($A$2:$A$301='Payslip Template'!$B$2)*($S$2:$S$300=229))*ROW($A$2:$A$301))-1), "")</f>
        <v/>
      </c>
    </row>
    <row r="231" spans="19:21" x14ac:dyDescent="0.25">
      <c r="S231" s="10" t="str">
        <f>IF($A232="","",COUNTIF($A$2:$A232,$A232))</f>
        <v/>
      </c>
      <c r="U231" s="10" t="str">
        <f>IFERROR(INDEX($C$2:$C$301, SUMPRODUCT((($A$2:$A$301='Payslip Template'!$B$2)*($S$2:$S$300=230))*ROW($A$2:$A$301))-1), "")</f>
        <v/>
      </c>
    </row>
    <row r="232" spans="19:21" x14ac:dyDescent="0.25">
      <c r="S232" s="10" t="str">
        <f>IF($A233="","",COUNTIF($A$2:$A233,$A233))</f>
        <v/>
      </c>
      <c r="U232" s="10" t="str">
        <f>IFERROR(INDEX($C$2:$C$301, SUMPRODUCT((($A$2:$A$301='Payslip Template'!$B$2)*($S$2:$S$300=231))*ROW($A$2:$A$301))-1), "")</f>
        <v/>
      </c>
    </row>
    <row r="233" spans="19:21" x14ac:dyDescent="0.25">
      <c r="S233" s="10" t="str">
        <f>IF($A234="","",COUNTIF($A$2:$A234,$A234))</f>
        <v/>
      </c>
      <c r="U233" s="10" t="str">
        <f>IFERROR(INDEX($C$2:$C$301, SUMPRODUCT((($A$2:$A$301='Payslip Template'!$B$2)*($S$2:$S$300=232))*ROW($A$2:$A$301))-1), "")</f>
        <v/>
      </c>
    </row>
    <row r="234" spans="19:21" x14ac:dyDescent="0.25">
      <c r="S234" s="10" t="str">
        <f>IF($A235="","",COUNTIF($A$2:$A235,$A235))</f>
        <v/>
      </c>
      <c r="U234" s="10" t="str">
        <f>IFERROR(INDEX($C$2:$C$301, SUMPRODUCT((($A$2:$A$301='Payslip Template'!$B$2)*($S$2:$S$300=233))*ROW($A$2:$A$301))-1), "")</f>
        <v/>
      </c>
    </row>
    <row r="235" spans="19:21" x14ac:dyDescent="0.25">
      <c r="S235" s="10" t="str">
        <f>IF($A236="","",COUNTIF($A$2:$A236,$A236))</f>
        <v/>
      </c>
      <c r="U235" s="10" t="str">
        <f>IFERROR(INDEX($C$2:$C$301, SUMPRODUCT((($A$2:$A$301='Payslip Template'!$B$2)*($S$2:$S$300=234))*ROW($A$2:$A$301))-1), "")</f>
        <v/>
      </c>
    </row>
    <row r="236" spans="19:21" x14ac:dyDescent="0.25">
      <c r="S236" s="10" t="str">
        <f>IF($A237="","",COUNTIF($A$2:$A237,$A237))</f>
        <v/>
      </c>
      <c r="U236" s="10" t="str">
        <f>IFERROR(INDEX($C$2:$C$301, SUMPRODUCT((($A$2:$A$301='Payslip Template'!$B$2)*($S$2:$S$300=235))*ROW($A$2:$A$301))-1), "")</f>
        <v/>
      </c>
    </row>
    <row r="237" spans="19:21" x14ac:dyDescent="0.25">
      <c r="S237" s="10" t="str">
        <f>IF($A238="","",COUNTIF($A$2:$A238,$A238))</f>
        <v/>
      </c>
      <c r="U237" s="10" t="str">
        <f>IFERROR(INDEX($C$2:$C$301, SUMPRODUCT((($A$2:$A$301='Payslip Template'!$B$2)*($S$2:$S$300=236))*ROW($A$2:$A$301))-1), "")</f>
        <v/>
      </c>
    </row>
    <row r="238" spans="19:21" x14ac:dyDescent="0.25">
      <c r="S238" s="10" t="str">
        <f>IF($A239="","",COUNTIF($A$2:$A239,$A239))</f>
        <v/>
      </c>
      <c r="U238" s="10" t="str">
        <f>IFERROR(INDEX($C$2:$C$301, SUMPRODUCT((($A$2:$A$301='Payslip Template'!$B$2)*($S$2:$S$300=237))*ROW($A$2:$A$301))-1), "")</f>
        <v/>
      </c>
    </row>
    <row r="239" spans="19:21" x14ac:dyDescent="0.25">
      <c r="S239" s="10" t="str">
        <f>IF($A240="","",COUNTIF($A$2:$A240,$A240))</f>
        <v/>
      </c>
      <c r="U239" s="10" t="str">
        <f>IFERROR(INDEX($C$2:$C$301, SUMPRODUCT((($A$2:$A$301='Payslip Template'!$B$2)*($S$2:$S$300=238))*ROW($A$2:$A$301))-1), "")</f>
        <v/>
      </c>
    </row>
    <row r="240" spans="19:21" x14ac:dyDescent="0.25">
      <c r="S240" s="10" t="str">
        <f>IF($A241="","",COUNTIF($A$2:$A241,$A241))</f>
        <v/>
      </c>
      <c r="U240" s="10" t="str">
        <f>IFERROR(INDEX($C$2:$C$301, SUMPRODUCT((($A$2:$A$301='Payslip Template'!$B$2)*($S$2:$S$300=239))*ROW($A$2:$A$301))-1), "")</f>
        <v/>
      </c>
    </row>
    <row r="241" spans="19:21" x14ac:dyDescent="0.25">
      <c r="S241" s="10" t="str">
        <f>IF($A242="","",COUNTIF($A$2:$A242,$A242))</f>
        <v/>
      </c>
      <c r="U241" s="10" t="str">
        <f>IFERROR(INDEX($C$2:$C$301, SUMPRODUCT((($A$2:$A$301='Payslip Template'!$B$2)*($S$2:$S$300=240))*ROW($A$2:$A$301))-1), "")</f>
        <v/>
      </c>
    </row>
    <row r="242" spans="19:21" x14ac:dyDescent="0.25">
      <c r="S242" s="10" t="str">
        <f>IF($A243="","",COUNTIF($A$2:$A243,$A243))</f>
        <v/>
      </c>
      <c r="U242" s="10" t="str">
        <f>IFERROR(INDEX($C$2:$C$301, SUMPRODUCT((($A$2:$A$301='Payslip Template'!$B$2)*($S$2:$S$300=241))*ROW($A$2:$A$301))-1), "")</f>
        <v/>
      </c>
    </row>
    <row r="243" spans="19:21" x14ac:dyDescent="0.25">
      <c r="S243" s="10" t="str">
        <f>IF($A244="","",COUNTIF($A$2:$A244,$A244))</f>
        <v/>
      </c>
      <c r="U243" s="10" t="str">
        <f>IFERROR(INDEX($C$2:$C$301, SUMPRODUCT((($A$2:$A$301='Payslip Template'!$B$2)*($S$2:$S$300=242))*ROW($A$2:$A$301))-1), "")</f>
        <v/>
      </c>
    </row>
    <row r="244" spans="19:21" x14ac:dyDescent="0.25">
      <c r="S244" s="10" t="str">
        <f>IF($A245="","",COUNTIF($A$2:$A245,$A245))</f>
        <v/>
      </c>
      <c r="U244" s="10" t="str">
        <f>IFERROR(INDEX($C$2:$C$301, SUMPRODUCT((($A$2:$A$301='Payslip Template'!$B$2)*($S$2:$S$300=243))*ROW($A$2:$A$301))-1), "")</f>
        <v/>
      </c>
    </row>
    <row r="245" spans="19:21" x14ac:dyDescent="0.25">
      <c r="S245" s="10" t="str">
        <f>IF($A246="","",COUNTIF($A$2:$A246,$A246))</f>
        <v/>
      </c>
      <c r="U245" s="10" t="str">
        <f>IFERROR(INDEX($C$2:$C$301, SUMPRODUCT((($A$2:$A$301='Payslip Template'!$B$2)*($S$2:$S$300=244))*ROW($A$2:$A$301))-1), "")</f>
        <v/>
      </c>
    </row>
    <row r="246" spans="19:21" x14ac:dyDescent="0.25">
      <c r="S246" s="10" t="str">
        <f>IF($A247="","",COUNTIF($A$2:$A247,$A247))</f>
        <v/>
      </c>
      <c r="U246" s="10" t="str">
        <f>IFERROR(INDEX($C$2:$C$301, SUMPRODUCT((($A$2:$A$301='Payslip Template'!$B$2)*($S$2:$S$300=245))*ROW($A$2:$A$301))-1), "")</f>
        <v/>
      </c>
    </row>
    <row r="247" spans="19:21" x14ac:dyDescent="0.25">
      <c r="S247" s="10" t="str">
        <f>IF($A248="","",COUNTIF($A$2:$A248,$A248))</f>
        <v/>
      </c>
      <c r="U247" s="10" t="str">
        <f>IFERROR(INDEX($C$2:$C$301, SUMPRODUCT((($A$2:$A$301='Payslip Template'!$B$2)*($S$2:$S$300=246))*ROW($A$2:$A$301))-1), "")</f>
        <v/>
      </c>
    </row>
    <row r="248" spans="19:21" x14ac:dyDescent="0.25">
      <c r="S248" s="10" t="str">
        <f>IF($A249="","",COUNTIF($A$2:$A249,$A249))</f>
        <v/>
      </c>
      <c r="U248" s="10" t="str">
        <f>IFERROR(INDEX($C$2:$C$301, SUMPRODUCT((($A$2:$A$301='Payslip Template'!$B$2)*($S$2:$S$300=247))*ROW($A$2:$A$301))-1), "")</f>
        <v/>
      </c>
    </row>
    <row r="249" spans="19:21" x14ac:dyDescent="0.25">
      <c r="S249" s="10" t="str">
        <f>IF($A250="","",COUNTIF($A$2:$A250,$A250))</f>
        <v/>
      </c>
      <c r="U249" s="10" t="str">
        <f>IFERROR(INDEX($C$2:$C$301, SUMPRODUCT((($A$2:$A$301='Payslip Template'!$B$2)*($S$2:$S$300=248))*ROW($A$2:$A$301))-1), "")</f>
        <v/>
      </c>
    </row>
    <row r="250" spans="19:21" x14ac:dyDescent="0.25">
      <c r="S250" s="10" t="str">
        <f>IF($A251="","",COUNTIF($A$2:$A251,$A251))</f>
        <v/>
      </c>
      <c r="U250" s="10" t="str">
        <f>IFERROR(INDEX($C$2:$C$301, SUMPRODUCT((($A$2:$A$301='Payslip Template'!$B$2)*($S$2:$S$300=249))*ROW($A$2:$A$301))-1), "")</f>
        <v/>
      </c>
    </row>
    <row r="251" spans="19:21" x14ac:dyDescent="0.25">
      <c r="S251" s="10" t="str">
        <f>IF($A252="","",COUNTIF($A$2:$A252,$A252))</f>
        <v/>
      </c>
      <c r="U251" s="10" t="str">
        <f>IFERROR(INDEX($C$2:$C$301, SUMPRODUCT((($A$2:$A$301='Payslip Template'!$B$2)*($S$2:$S$300=250))*ROW($A$2:$A$301))-1), "")</f>
        <v/>
      </c>
    </row>
    <row r="252" spans="19:21" x14ac:dyDescent="0.25">
      <c r="S252" s="10" t="str">
        <f>IF($A253="","",COUNTIF($A$2:$A253,$A253))</f>
        <v/>
      </c>
      <c r="U252" s="10" t="str">
        <f>IFERROR(INDEX($C$2:$C$301, SUMPRODUCT((($A$2:$A$301='Payslip Template'!$B$2)*($S$2:$S$300=251))*ROW($A$2:$A$301))-1), "")</f>
        <v/>
      </c>
    </row>
    <row r="253" spans="19:21" x14ac:dyDescent="0.25">
      <c r="S253" s="10" t="str">
        <f>IF($A254="","",COUNTIF($A$2:$A254,$A254))</f>
        <v/>
      </c>
      <c r="U253" s="10" t="str">
        <f>IFERROR(INDEX($C$2:$C$301, SUMPRODUCT((($A$2:$A$301='Payslip Template'!$B$2)*($S$2:$S$300=252))*ROW($A$2:$A$301))-1), "")</f>
        <v/>
      </c>
    </row>
    <row r="254" spans="19:21" x14ac:dyDescent="0.25">
      <c r="S254" s="10" t="str">
        <f>IF($A255="","",COUNTIF($A$2:$A255,$A255))</f>
        <v/>
      </c>
      <c r="U254" s="10" t="str">
        <f>IFERROR(INDEX($C$2:$C$301, SUMPRODUCT((($A$2:$A$301='Payslip Template'!$B$2)*($S$2:$S$300=253))*ROW($A$2:$A$301))-1), "")</f>
        <v/>
      </c>
    </row>
    <row r="255" spans="19:21" x14ac:dyDescent="0.25">
      <c r="S255" s="10" t="str">
        <f>IF($A256="","",COUNTIF($A$2:$A256,$A256))</f>
        <v/>
      </c>
      <c r="U255" s="10" t="str">
        <f>IFERROR(INDEX($C$2:$C$301, SUMPRODUCT((($A$2:$A$301='Payslip Template'!$B$2)*($S$2:$S$300=254))*ROW($A$2:$A$301))-1), "")</f>
        <v/>
      </c>
    </row>
    <row r="256" spans="19:21" x14ac:dyDescent="0.25">
      <c r="S256" s="10" t="str">
        <f>IF($A257="","",COUNTIF($A$2:$A257,$A257))</f>
        <v/>
      </c>
      <c r="U256" s="10" t="str">
        <f>IFERROR(INDEX($C$2:$C$301, SUMPRODUCT((($A$2:$A$301='Payslip Template'!$B$2)*($S$2:$S$300=255))*ROW($A$2:$A$301))-1), "")</f>
        <v/>
      </c>
    </row>
    <row r="257" spans="19:21" x14ac:dyDescent="0.25">
      <c r="S257" s="10" t="str">
        <f>IF($A258="","",COUNTIF($A$2:$A258,$A258))</f>
        <v/>
      </c>
      <c r="U257" s="10" t="str">
        <f>IFERROR(INDEX($C$2:$C$301, SUMPRODUCT((($A$2:$A$301='Payslip Template'!$B$2)*($S$2:$S$300=256))*ROW($A$2:$A$301))-1), "")</f>
        <v/>
      </c>
    </row>
    <row r="258" spans="19:21" x14ac:dyDescent="0.25">
      <c r="S258" s="10" t="str">
        <f>IF($A259="","",COUNTIF($A$2:$A259,$A259))</f>
        <v/>
      </c>
      <c r="U258" s="10" t="str">
        <f>IFERROR(INDEX($C$2:$C$301, SUMPRODUCT((($A$2:$A$301='Payslip Template'!$B$2)*($S$2:$S$300=257))*ROW($A$2:$A$301))-1), "")</f>
        <v/>
      </c>
    </row>
    <row r="259" spans="19:21" x14ac:dyDescent="0.25">
      <c r="S259" s="10" t="str">
        <f>IF($A260="","",COUNTIF($A$2:$A260,$A260))</f>
        <v/>
      </c>
      <c r="U259" s="10" t="str">
        <f>IFERROR(INDEX($C$2:$C$301, SUMPRODUCT((($A$2:$A$301='Payslip Template'!$B$2)*($S$2:$S$300=258))*ROW($A$2:$A$301))-1), "")</f>
        <v/>
      </c>
    </row>
    <row r="260" spans="19:21" x14ac:dyDescent="0.25">
      <c r="S260" s="10" t="str">
        <f>IF($A261="","",COUNTIF($A$2:$A261,$A261))</f>
        <v/>
      </c>
      <c r="U260" s="10" t="str">
        <f>IFERROR(INDEX($C$2:$C$301, SUMPRODUCT((($A$2:$A$301='Payslip Template'!$B$2)*($S$2:$S$300=259))*ROW($A$2:$A$301))-1), "")</f>
        <v/>
      </c>
    </row>
    <row r="261" spans="19:21" x14ac:dyDescent="0.25">
      <c r="S261" s="10" t="str">
        <f>IF($A262="","",COUNTIF($A$2:$A262,$A262))</f>
        <v/>
      </c>
      <c r="U261" s="10" t="str">
        <f>IFERROR(INDEX($C$2:$C$301, SUMPRODUCT((($A$2:$A$301='Payslip Template'!$B$2)*($S$2:$S$300=260))*ROW($A$2:$A$301))-1), "")</f>
        <v/>
      </c>
    </row>
    <row r="262" spans="19:21" x14ac:dyDescent="0.25">
      <c r="S262" s="10" t="str">
        <f>IF($A263="","",COUNTIF($A$2:$A263,$A263))</f>
        <v/>
      </c>
      <c r="U262" s="10" t="str">
        <f>IFERROR(INDEX($C$2:$C$301, SUMPRODUCT((($A$2:$A$301='Payslip Template'!$B$2)*($S$2:$S$300=261))*ROW($A$2:$A$301))-1), "")</f>
        <v/>
      </c>
    </row>
    <row r="263" spans="19:21" x14ac:dyDescent="0.25">
      <c r="S263" s="10" t="str">
        <f>IF($A264="","",COUNTIF($A$2:$A264,$A264))</f>
        <v/>
      </c>
      <c r="U263" s="10" t="str">
        <f>IFERROR(INDEX($C$2:$C$301, SUMPRODUCT((($A$2:$A$301='Payslip Template'!$B$2)*($S$2:$S$300=262))*ROW($A$2:$A$301))-1), "")</f>
        <v/>
      </c>
    </row>
    <row r="264" spans="19:21" x14ac:dyDescent="0.25">
      <c r="S264" s="10" t="str">
        <f>IF($A265="","",COUNTIF($A$2:$A265,$A265))</f>
        <v/>
      </c>
      <c r="U264" s="10" t="str">
        <f>IFERROR(INDEX($C$2:$C$301, SUMPRODUCT((($A$2:$A$301='Payslip Template'!$B$2)*($S$2:$S$300=263))*ROW($A$2:$A$301))-1), "")</f>
        <v/>
      </c>
    </row>
    <row r="265" spans="19:21" x14ac:dyDescent="0.25">
      <c r="S265" s="10" t="str">
        <f>IF($A266="","",COUNTIF($A$2:$A266,$A266))</f>
        <v/>
      </c>
      <c r="U265" s="10" t="str">
        <f>IFERROR(INDEX($C$2:$C$301, SUMPRODUCT((($A$2:$A$301='Payslip Template'!$B$2)*($S$2:$S$300=264))*ROW($A$2:$A$301))-1), "")</f>
        <v/>
      </c>
    </row>
    <row r="266" spans="19:21" x14ac:dyDescent="0.25">
      <c r="S266" s="10" t="str">
        <f>IF($A267="","",COUNTIF($A$2:$A267,$A267))</f>
        <v/>
      </c>
      <c r="U266" s="10" t="str">
        <f>IFERROR(INDEX($C$2:$C$301, SUMPRODUCT((($A$2:$A$301='Payslip Template'!$B$2)*($S$2:$S$300=265))*ROW($A$2:$A$301))-1), "")</f>
        <v/>
      </c>
    </row>
    <row r="267" spans="19:21" x14ac:dyDescent="0.25">
      <c r="S267" s="10" t="str">
        <f>IF($A268="","",COUNTIF($A$2:$A268,$A268))</f>
        <v/>
      </c>
      <c r="U267" s="10" t="str">
        <f>IFERROR(INDEX($C$2:$C$301, SUMPRODUCT((($A$2:$A$301='Payslip Template'!$B$2)*($S$2:$S$300=266))*ROW($A$2:$A$301))-1), "")</f>
        <v/>
      </c>
    </row>
    <row r="268" spans="19:21" x14ac:dyDescent="0.25">
      <c r="S268" s="10" t="str">
        <f>IF($A269="","",COUNTIF($A$2:$A269,$A269))</f>
        <v/>
      </c>
      <c r="U268" s="10" t="str">
        <f>IFERROR(INDEX($C$2:$C$301, SUMPRODUCT((($A$2:$A$301='Payslip Template'!$B$2)*($S$2:$S$300=267))*ROW($A$2:$A$301))-1), "")</f>
        <v/>
      </c>
    </row>
    <row r="269" spans="19:21" x14ac:dyDescent="0.25">
      <c r="S269" s="10" t="str">
        <f>IF($A270="","",COUNTIF($A$2:$A270,$A270))</f>
        <v/>
      </c>
      <c r="U269" s="10" t="str">
        <f>IFERROR(INDEX($C$2:$C$301, SUMPRODUCT((($A$2:$A$301='Payslip Template'!$B$2)*($S$2:$S$300=268))*ROW($A$2:$A$301))-1), "")</f>
        <v/>
      </c>
    </row>
    <row r="270" spans="19:21" x14ac:dyDescent="0.25">
      <c r="S270" s="10" t="str">
        <f>IF($A271="","",COUNTIF($A$2:$A271,$A271))</f>
        <v/>
      </c>
      <c r="U270" s="10" t="str">
        <f>IFERROR(INDEX($C$2:$C$301, SUMPRODUCT((($A$2:$A$301='Payslip Template'!$B$2)*($S$2:$S$300=269))*ROW($A$2:$A$301))-1), "")</f>
        <v/>
      </c>
    </row>
    <row r="271" spans="19:21" x14ac:dyDescent="0.25">
      <c r="S271" s="10" t="str">
        <f>IF($A272="","",COUNTIF($A$2:$A272,$A272))</f>
        <v/>
      </c>
      <c r="U271" s="10" t="str">
        <f>IFERROR(INDEX($C$2:$C$301, SUMPRODUCT((($A$2:$A$301='Payslip Template'!$B$2)*($S$2:$S$300=270))*ROW($A$2:$A$301))-1), "")</f>
        <v/>
      </c>
    </row>
    <row r="272" spans="19:21" x14ac:dyDescent="0.25">
      <c r="S272" s="10" t="str">
        <f>IF($A273="","",COUNTIF($A$2:$A273,$A273))</f>
        <v/>
      </c>
      <c r="U272" s="10" t="str">
        <f>IFERROR(INDEX($C$2:$C$301, SUMPRODUCT((($A$2:$A$301='Payslip Template'!$B$2)*($S$2:$S$300=271))*ROW($A$2:$A$301))-1), "")</f>
        <v/>
      </c>
    </row>
    <row r="273" spans="19:21" x14ac:dyDescent="0.25">
      <c r="S273" s="10" t="str">
        <f>IF($A274="","",COUNTIF($A$2:$A274,$A274))</f>
        <v/>
      </c>
      <c r="U273" s="10" t="str">
        <f>IFERROR(INDEX($C$2:$C$301, SUMPRODUCT((($A$2:$A$301='Payslip Template'!$B$2)*($S$2:$S$300=272))*ROW($A$2:$A$301))-1), "")</f>
        <v/>
      </c>
    </row>
    <row r="274" spans="19:21" x14ac:dyDescent="0.25">
      <c r="S274" s="10" t="str">
        <f>IF($A275="","",COUNTIF($A$2:$A275,$A275))</f>
        <v/>
      </c>
      <c r="U274" s="10" t="str">
        <f>IFERROR(INDEX($C$2:$C$301, SUMPRODUCT((($A$2:$A$301='Payslip Template'!$B$2)*($S$2:$S$300=273))*ROW($A$2:$A$301))-1), "")</f>
        <v/>
      </c>
    </row>
    <row r="275" spans="19:21" x14ac:dyDescent="0.25">
      <c r="S275" s="10" t="str">
        <f>IF($A276="","",COUNTIF($A$2:$A276,$A276))</f>
        <v/>
      </c>
      <c r="U275" s="10" t="str">
        <f>IFERROR(INDEX($C$2:$C$301, SUMPRODUCT((($A$2:$A$301='Payslip Template'!$B$2)*($S$2:$S$300=274))*ROW($A$2:$A$301))-1), "")</f>
        <v/>
      </c>
    </row>
    <row r="276" spans="19:21" x14ac:dyDescent="0.25">
      <c r="S276" s="10" t="str">
        <f>IF($A277="","",COUNTIF($A$2:$A277,$A277))</f>
        <v/>
      </c>
      <c r="U276" s="10" t="str">
        <f>IFERROR(INDEX($C$2:$C$301, SUMPRODUCT((($A$2:$A$301='Payslip Template'!$B$2)*($S$2:$S$300=275))*ROW($A$2:$A$301))-1), "")</f>
        <v/>
      </c>
    </row>
    <row r="277" spans="19:21" x14ac:dyDescent="0.25">
      <c r="S277" s="10" t="str">
        <f>IF($A278="","",COUNTIF($A$2:$A278,$A278))</f>
        <v/>
      </c>
      <c r="U277" s="10" t="str">
        <f>IFERROR(INDEX($C$2:$C$301, SUMPRODUCT((($A$2:$A$301='Payslip Template'!$B$2)*($S$2:$S$300=276))*ROW($A$2:$A$301))-1), "")</f>
        <v/>
      </c>
    </row>
    <row r="278" spans="19:21" x14ac:dyDescent="0.25">
      <c r="S278" s="10" t="str">
        <f>IF($A279="","",COUNTIF($A$2:$A279,$A279))</f>
        <v/>
      </c>
      <c r="U278" s="10" t="str">
        <f>IFERROR(INDEX($C$2:$C$301, SUMPRODUCT((($A$2:$A$301='Payslip Template'!$B$2)*($S$2:$S$300=277))*ROW($A$2:$A$301))-1), "")</f>
        <v/>
      </c>
    </row>
    <row r="279" spans="19:21" x14ac:dyDescent="0.25">
      <c r="S279" s="10" t="str">
        <f>IF($A280="","",COUNTIF($A$2:$A280,$A280))</f>
        <v/>
      </c>
      <c r="U279" s="10" t="str">
        <f>IFERROR(INDEX($C$2:$C$301, SUMPRODUCT((($A$2:$A$301='Payslip Template'!$B$2)*($S$2:$S$300=278))*ROW($A$2:$A$301))-1), "")</f>
        <v/>
      </c>
    </row>
    <row r="280" spans="19:21" x14ac:dyDescent="0.25">
      <c r="S280" s="10" t="str">
        <f>IF($A281="","",COUNTIF($A$2:$A281,$A281))</f>
        <v/>
      </c>
      <c r="U280" s="10" t="str">
        <f>IFERROR(INDEX($C$2:$C$301, SUMPRODUCT((($A$2:$A$301='Payslip Template'!$B$2)*($S$2:$S$300=279))*ROW($A$2:$A$301))-1), "")</f>
        <v/>
      </c>
    </row>
    <row r="281" spans="19:21" x14ac:dyDescent="0.25">
      <c r="S281" s="10" t="str">
        <f>IF($A282="","",COUNTIF($A$2:$A282,$A282))</f>
        <v/>
      </c>
      <c r="U281" s="10" t="str">
        <f>IFERROR(INDEX($C$2:$C$301, SUMPRODUCT((($A$2:$A$301='Payslip Template'!$B$2)*($S$2:$S$300=280))*ROW($A$2:$A$301))-1), "")</f>
        <v/>
      </c>
    </row>
    <row r="282" spans="19:21" x14ac:dyDescent="0.25">
      <c r="S282" s="10" t="str">
        <f>IF($A283="","",COUNTIF($A$2:$A283,$A283))</f>
        <v/>
      </c>
      <c r="U282" s="10" t="str">
        <f>IFERROR(INDEX($C$2:$C$301, SUMPRODUCT((($A$2:$A$301='Payslip Template'!$B$2)*($S$2:$S$300=281))*ROW($A$2:$A$301))-1), "")</f>
        <v/>
      </c>
    </row>
    <row r="283" spans="19:21" x14ac:dyDescent="0.25">
      <c r="S283" s="10" t="str">
        <f>IF($A284="","",COUNTIF($A$2:$A284,$A284))</f>
        <v/>
      </c>
      <c r="U283" s="10" t="str">
        <f>IFERROR(INDEX($C$2:$C$301, SUMPRODUCT((($A$2:$A$301='Payslip Template'!$B$2)*($S$2:$S$300=282))*ROW($A$2:$A$301))-1), "")</f>
        <v/>
      </c>
    </row>
    <row r="284" spans="19:21" x14ac:dyDescent="0.25">
      <c r="S284" s="10" t="str">
        <f>IF($A285="","",COUNTIF($A$2:$A285,$A285))</f>
        <v/>
      </c>
      <c r="U284" s="10" t="str">
        <f>IFERROR(INDEX($C$2:$C$301, SUMPRODUCT((($A$2:$A$301='Payslip Template'!$B$2)*($S$2:$S$300=283))*ROW($A$2:$A$301))-1), "")</f>
        <v/>
      </c>
    </row>
    <row r="285" spans="19:21" x14ac:dyDescent="0.25">
      <c r="S285" s="10" t="str">
        <f>IF($A286="","",COUNTIF($A$2:$A286,$A286))</f>
        <v/>
      </c>
      <c r="U285" s="10" t="str">
        <f>IFERROR(INDEX($C$2:$C$301, SUMPRODUCT((($A$2:$A$301='Payslip Template'!$B$2)*($S$2:$S$300=284))*ROW($A$2:$A$301))-1), "")</f>
        <v/>
      </c>
    </row>
    <row r="286" spans="19:21" x14ac:dyDescent="0.25">
      <c r="S286" s="10" t="str">
        <f>IF($A287="","",COUNTIF($A$2:$A287,$A287))</f>
        <v/>
      </c>
      <c r="U286" s="10" t="str">
        <f>IFERROR(INDEX($C$2:$C$301, SUMPRODUCT((($A$2:$A$301='Payslip Template'!$B$2)*($S$2:$S$300=285))*ROW($A$2:$A$301))-1), "")</f>
        <v/>
      </c>
    </row>
    <row r="287" spans="19:21" x14ac:dyDescent="0.25">
      <c r="S287" s="10" t="str">
        <f>IF($A288="","",COUNTIF($A$2:$A288,$A288))</f>
        <v/>
      </c>
      <c r="U287" s="10" t="str">
        <f>IFERROR(INDEX($C$2:$C$301, SUMPRODUCT((($A$2:$A$301='Payslip Template'!$B$2)*($S$2:$S$300=286))*ROW($A$2:$A$301))-1), "")</f>
        <v/>
      </c>
    </row>
    <row r="288" spans="19:21" x14ac:dyDescent="0.25">
      <c r="S288" s="10" t="str">
        <f>IF($A289="","",COUNTIF($A$2:$A289,$A289))</f>
        <v/>
      </c>
      <c r="U288" s="10" t="str">
        <f>IFERROR(INDEX($C$2:$C$301, SUMPRODUCT((($A$2:$A$301='Payslip Template'!$B$2)*($S$2:$S$300=287))*ROW($A$2:$A$301))-1), "")</f>
        <v/>
      </c>
    </row>
    <row r="289" spans="19:21" x14ac:dyDescent="0.25">
      <c r="S289" s="10" t="str">
        <f>IF($A290="","",COUNTIF($A$2:$A290,$A290))</f>
        <v/>
      </c>
      <c r="U289" s="10" t="str">
        <f>IFERROR(INDEX($C$2:$C$301, SUMPRODUCT((($A$2:$A$301='Payslip Template'!$B$2)*($S$2:$S$300=288))*ROW($A$2:$A$301))-1), "")</f>
        <v/>
      </c>
    </row>
    <row r="290" spans="19:21" x14ac:dyDescent="0.25">
      <c r="S290" s="10" t="str">
        <f>IF($A291="","",COUNTIF($A$2:$A291,$A291))</f>
        <v/>
      </c>
      <c r="U290" s="10" t="str">
        <f>IFERROR(INDEX($C$2:$C$301, SUMPRODUCT((($A$2:$A$301='Payslip Template'!$B$2)*($S$2:$S$300=289))*ROW($A$2:$A$301))-1), "")</f>
        <v/>
      </c>
    </row>
    <row r="291" spans="19:21" x14ac:dyDescent="0.25">
      <c r="S291" s="10" t="str">
        <f>IF($A292="","",COUNTIF($A$2:$A292,$A292))</f>
        <v/>
      </c>
      <c r="U291" s="10" t="str">
        <f>IFERROR(INDEX($C$2:$C$301, SUMPRODUCT((($A$2:$A$301='Payslip Template'!$B$2)*($S$2:$S$300=290))*ROW($A$2:$A$301))-1), "")</f>
        <v/>
      </c>
    </row>
    <row r="292" spans="19:21" x14ac:dyDescent="0.25">
      <c r="S292" s="10" t="str">
        <f>IF($A293="","",COUNTIF($A$2:$A293,$A293))</f>
        <v/>
      </c>
      <c r="U292" s="10" t="str">
        <f>IFERROR(INDEX($C$2:$C$301, SUMPRODUCT((($A$2:$A$301='Payslip Template'!$B$2)*($S$2:$S$300=291))*ROW($A$2:$A$301))-1), "")</f>
        <v/>
      </c>
    </row>
    <row r="293" spans="19:21" x14ac:dyDescent="0.25">
      <c r="S293" s="10" t="str">
        <f>IF($A294="","",COUNTIF($A$2:$A294,$A294))</f>
        <v/>
      </c>
      <c r="U293" s="10" t="str">
        <f>IFERROR(INDEX($C$2:$C$301, SUMPRODUCT((($A$2:$A$301='Payslip Template'!$B$2)*($S$2:$S$300=292))*ROW($A$2:$A$301))-1), "")</f>
        <v/>
      </c>
    </row>
    <row r="294" spans="19:21" x14ac:dyDescent="0.25">
      <c r="S294" s="10" t="str">
        <f>IF($A295="","",COUNTIF($A$2:$A295,$A295))</f>
        <v/>
      </c>
      <c r="U294" s="10" t="str">
        <f>IFERROR(INDEX($C$2:$C$301, SUMPRODUCT((($A$2:$A$301='Payslip Template'!$B$2)*($S$2:$S$300=293))*ROW($A$2:$A$301))-1), "")</f>
        <v/>
      </c>
    </row>
    <row r="295" spans="19:21" x14ac:dyDescent="0.25">
      <c r="S295" s="10" t="str">
        <f>IF($A296="","",COUNTIF($A$2:$A296,$A296))</f>
        <v/>
      </c>
      <c r="U295" s="10" t="str">
        <f>IFERROR(INDEX($C$2:$C$301, SUMPRODUCT((($A$2:$A$301='Payslip Template'!$B$2)*($S$2:$S$300=294))*ROW($A$2:$A$301))-1), "")</f>
        <v/>
      </c>
    </row>
    <row r="296" spans="19:21" x14ac:dyDescent="0.25">
      <c r="S296" s="10" t="str">
        <f>IF($A297="","",COUNTIF($A$2:$A297,$A297))</f>
        <v/>
      </c>
      <c r="U296" s="10" t="str">
        <f>IFERROR(INDEX($C$2:$C$301, SUMPRODUCT((($A$2:$A$301='Payslip Template'!$B$2)*($S$2:$S$300=295))*ROW($A$2:$A$301))-1), "")</f>
        <v/>
      </c>
    </row>
    <row r="297" spans="19:21" x14ac:dyDescent="0.25">
      <c r="S297" s="10" t="str">
        <f>IF($A298="","",COUNTIF($A$2:$A298,$A298))</f>
        <v/>
      </c>
      <c r="U297" s="10" t="str">
        <f>IFERROR(INDEX($C$2:$C$301, SUMPRODUCT((($A$2:$A$301='Payslip Template'!$B$2)*($S$2:$S$300=296))*ROW($A$2:$A$301))-1), "")</f>
        <v/>
      </c>
    </row>
    <row r="298" spans="19:21" x14ac:dyDescent="0.25">
      <c r="S298" s="10" t="str">
        <f>IF($A299="","",COUNTIF($A$2:$A299,$A299))</f>
        <v/>
      </c>
      <c r="U298" s="10" t="str">
        <f>IFERROR(INDEX($C$2:$C$301, SUMPRODUCT((($A$2:$A$301='Payslip Template'!$B$2)*($S$2:$S$300=297))*ROW($A$2:$A$301))-1), "")</f>
        <v/>
      </c>
    </row>
    <row r="299" spans="19:21" x14ac:dyDescent="0.25">
      <c r="S299" s="10" t="str">
        <f>IF($A300="","",COUNTIF($A$2:$A300,$A300))</f>
        <v/>
      </c>
      <c r="U299" s="10" t="str">
        <f>IFERROR(INDEX($C$2:$C$301, SUMPRODUCT((($A$2:$A$301='Payslip Template'!$B$2)*($S$2:$S$300=298))*ROW($A$2:$A$301))-1), "")</f>
        <v/>
      </c>
    </row>
    <row r="300" spans="19:21" x14ac:dyDescent="0.25">
      <c r="S300" s="10" t="str">
        <f>IF($A301="","",COUNTIF($A$2:$A301,$A301))</f>
        <v/>
      </c>
      <c r="U300" s="10" t="str">
        <f>IFERROR(INDEX($C$2:$C$301, SUMPRODUCT((($A$2:$A$301='Payslip Template'!$B$2)*($S$2:$S$300=299))*ROW($A$2:$A$301))-1), "")</f>
        <v/>
      </c>
    </row>
  </sheetData>
  <phoneticPr fontId="28" type="noConversion"/>
  <dataValidations count="5">
    <dataValidation type="list" allowBlank="1" sqref="A2:A102" xr:uid="{00000000-0002-0000-0200-000000000000}">
      <formula1>CompanyList</formula1>
      <formula2>0</formula2>
    </dataValidation>
    <dataValidation type="list" allowBlank="1" sqref="K2:K102" xr:uid="{00000000-0002-0000-0200-000001000000}">
      <formula1>PayFrequencyList</formula1>
      <formula2>0</formula2>
    </dataValidation>
    <dataValidation type="list" allowBlank="1" sqref="P2:P102" xr:uid="{00000000-0002-0000-0200-000002000000}">
      <formula1>AccountTypeList</formula1>
      <formula2>0</formula2>
    </dataValidation>
    <dataValidation type="list" allowBlank="1" sqref="Q2:Q102" xr:uid="{00000000-0002-0000-0200-000003000000}">
      <formula1>PaymentModeList</formula1>
      <formula2>0</formula2>
    </dataValidation>
    <dataValidation type="list" allowBlank="1" sqref="R2:R102" xr:uid="{00000000-0002-0000-0200-000004000000}">
      <formula1>EmployeeStatusList</formula1>
      <formula2>0</formula2>
    </dataValidation>
  </dataValidations>
  <hyperlinks>
    <hyperlink ref="J9" r:id="rId1" xr:uid="{00000000-0004-0000-0200-000000000000}"/>
    <hyperlink ref="J11" r:id="rId2" xr:uid="{2204EE91-C7F1-477B-A70F-0F66B2660521}"/>
  </hyperlinks>
  <pageMargins left="0.75" right="0.75" top="1" bottom="1" header="0.511811023622047" footer="0.511811023622047"/>
  <pageSetup paperSize="9" orientation="portrait" horizontalDpi="300" verticalDpi="300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00"/>
  <sheetViews>
    <sheetView zoomScaleNormal="100" workbookViewId="0">
      <selection activeCell="A6" sqref="A6"/>
    </sheetView>
  </sheetViews>
  <sheetFormatPr defaultColWidth="8.7109375" defaultRowHeight="15" x14ac:dyDescent="0.25"/>
  <cols>
    <col min="1" max="1" width="17" style="85" customWidth="1"/>
    <col min="2" max="2" width="13" style="10" customWidth="1"/>
    <col min="3" max="3" width="20" style="10" customWidth="1"/>
    <col min="4" max="4" width="29" style="10" customWidth="1"/>
    <col min="5" max="6" width="15" style="10" customWidth="1"/>
    <col min="7" max="7" width="14" style="10" customWidth="1"/>
    <col min="8" max="8" width="16" style="10" customWidth="1"/>
    <col min="9" max="9" width="30" style="10" customWidth="1"/>
    <col min="10" max="10" width="19" style="10" customWidth="1"/>
    <col min="11" max="11" width="16" style="10" customWidth="1"/>
    <col min="12" max="12" width="30" style="10" customWidth="1"/>
    <col min="13" max="13" width="16" style="10" customWidth="1"/>
    <col min="14" max="15" width="18" style="10" customWidth="1"/>
    <col min="16" max="16" width="19" style="10" customWidth="1"/>
    <col min="17" max="17" width="15" style="10" customWidth="1"/>
    <col min="18" max="18" width="20" style="10" customWidth="1"/>
    <col min="19" max="19" width="19" style="10" customWidth="1"/>
    <col min="20" max="20" width="18" style="10" customWidth="1"/>
    <col min="21" max="21" width="13" style="10" customWidth="1"/>
    <col min="22" max="22" width="51" style="10" customWidth="1"/>
    <col min="23" max="23" width="14" style="10" customWidth="1"/>
    <col min="24" max="24" width="15" style="10" customWidth="1"/>
    <col min="25" max="25" width="13" style="10" customWidth="1"/>
    <col min="26" max="26" width="17" style="10" customWidth="1"/>
    <col min="27" max="27" width="19" style="10" customWidth="1"/>
    <col min="28" max="28" width="39" style="10" customWidth="1"/>
    <col min="29" max="29" width="36" style="10" customWidth="1"/>
    <col min="30" max="30" width="12" style="10" customWidth="1"/>
    <col min="32" max="32" width="4" style="10" customWidth="1"/>
    <col min="33" max="33" width="42" style="10" customWidth="1"/>
  </cols>
  <sheetData>
    <row r="1" spans="1:33" ht="15" customHeight="1" x14ac:dyDescent="0.25">
      <c r="A1" s="94" t="s">
        <v>153</v>
      </c>
      <c r="B1" s="95" t="s">
        <v>154</v>
      </c>
      <c r="C1" s="95" t="s">
        <v>65</v>
      </c>
      <c r="D1" s="95" t="s">
        <v>155</v>
      </c>
      <c r="E1" s="95" t="s">
        <v>156</v>
      </c>
      <c r="F1" s="95" t="s">
        <v>157</v>
      </c>
      <c r="G1" s="95" t="s">
        <v>158</v>
      </c>
      <c r="H1" s="95" t="s">
        <v>159</v>
      </c>
      <c r="I1" s="95" t="s">
        <v>160</v>
      </c>
      <c r="J1" s="95" t="s">
        <v>161</v>
      </c>
      <c r="K1" s="95" t="s">
        <v>162</v>
      </c>
      <c r="L1" s="95" t="s">
        <v>163</v>
      </c>
      <c r="M1" s="95" t="s">
        <v>164</v>
      </c>
      <c r="N1" s="95" t="s">
        <v>165</v>
      </c>
      <c r="O1" s="95" t="s">
        <v>166</v>
      </c>
      <c r="P1" s="95" t="s">
        <v>167</v>
      </c>
      <c r="Q1" s="95" t="s">
        <v>168</v>
      </c>
      <c r="R1" s="95" t="s">
        <v>169</v>
      </c>
      <c r="S1" s="95" t="s">
        <v>170</v>
      </c>
      <c r="T1" s="95" t="s">
        <v>171</v>
      </c>
      <c r="U1" s="95" t="s">
        <v>172</v>
      </c>
      <c r="V1" s="95" t="s">
        <v>173</v>
      </c>
      <c r="W1" s="95" t="s">
        <v>174</v>
      </c>
      <c r="X1" s="95" t="s">
        <v>175</v>
      </c>
      <c r="Y1" s="95" t="s">
        <v>176</v>
      </c>
      <c r="Z1" s="95" t="s">
        <v>177</v>
      </c>
      <c r="AA1" s="95" t="s">
        <v>178</v>
      </c>
      <c r="AB1" s="95" t="s">
        <v>179</v>
      </c>
      <c r="AC1" s="95" t="s">
        <v>33</v>
      </c>
      <c r="AD1" s="95" t="s">
        <v>180</v>
      </c>
      <c r="AF1" s="80" t="s">
        <v>181</v>
      </c>
    </row>
    <row r="2" spans="1:33" ht="15" customHeight="1" x14ac:dyDescent="0.25">
      <c r="A2" s="96" t="s">
        <v>182</v>
      </c>
      <c r="B2" s="97" t="s">
        <v>183</v>
      </c>
      <c r="C2" s="97" t="s">
        <v>4</v>
      </c>
      <c r="D2" s="97" t="s">
        <v>184</v>
      </c>
      <c r="E2" s="98">
        <f>IFERROR(INDEX(Employees!$L:$L,SUMPRODUCT((Employees!$A$2:$A$102=C2)*(Employees!$C$2:$C$102=D2)*ROW(Employees!$A$2:$A$102))),"")</f>
        <v>6690.42</v>
      </c>
      <c r="F2" s="99">
        <v>195</v>
      </c>
      <c r="G2" s="98">
        <f>IFERROR(INDEX(Employees!$M:$M,SUMPRODUCT((Employees!$A$2:$A$102=C2)*(Employees!$C$2:$C$102=D2)*ROW(Employees!$A$2:$A$102))),"")</f>
        <v>34.309846153846152</v>
      </c>
      <c r="H2" s="99">
        <v>22.33</v>
      </c>
      <c r="I2" s="98">
        <f>IFERROR(ROUND(G2*Settings!$C$5,4),"")</f>
        <v>51.464799999999997</v>
      </c>
      <c r="J2" s="98">
        <f t="shared" ref="J2:J33" si="0">IFERROR(ROUND(H2*I2,2),"")</f>
        <v>1149.21</v>
      </c>
      <c r="K2" s="99">
        <v>0</v>
      </c>
      <c r="L2" s="98">
        <f>IFERROR(ROUND(G2*Settings!$C$6,4),"")</f>
        <v>68.619699999999995</v>
      </c>
      <c r="M2" s="98">
        <f t="shared" ref="M2:M33" si="1">IFERROR(ROUND(K2*L2,2),0)</f>
        <v>0</v>
      </c>
      <c r="N2" s="99">
        <v>470</v>
      </c>
      <c r="O2" s="100">
        <v>0.3</v>
      </c>
      <c r="P2" s="98">
        <f t="shared" ref="P2:P33" si="2">IFERROR(ROUND(N2*O2,2),"")</f>
        <v>141</v>
      </c>
      <c r="Q2" s="99">
        <v>2687.23</v>
      </c>
      <c r="R2" s="99">
        <v>0</v>
      </c>
      <c r="S2" s="99">
        <v>0</v>
      </c>
      <c r="T2" s="99">
        <v>0</v>
      </c>
      <c r="U2" s="99">
        <v>0</v>
      </c>
      <c r="V2" s="99">
        <v>0</v>
      </c>
      <c r="W2" s="99">
        <v>0</v>
      </c>
      <c r="X2" s="99">
        <v>0</v>
      </c>
      <c r="Y2" s="99">
        <v>0</v>
      </c>
      <c r="Z2" s="99">
        <v>0</v>
      </c>
      <c r="AA2" s="99">
        <v>0</v>
      </c>
      <c r="AB2" s="98">
        <f t="shared" ref="AB2:AB33" si="3">SUM(E2,J2,M2,P2,Q2,R2,S2,T2)</f>
        <v>10667.86</v>
      </c>
      <c r="AC2" s="98">
        <f t="shared" ref="AC2:AC33" si="4">SUM(U2,V2,W2,X2,Y2,Z2,AA2)</f>
        <v>0</v>
      </c>
      <c r="AD2" s="98">
        <f t="shared" ref="AD2:AD33" si="5">AB2-AC2</f>
        <v>10667.86</v>
      </c>
      <c r="AF2" s="84"/>
      <c r="AG2" s="101" t="s">
        <v>185</v>
      </c>
    </row>
    <row r="3" spans="1:33" ht="15" customHeight="1" x14ac:dyDescent="0.25">
      <c r="A3" s="96" t="s">
        <v>186</v>
      </c>
      <c r="B3" s="97" t="s">
        <v>187</v>
      </c>
      <c r="C3" s="97" t="s">
        <v>58</v>
      </c>
      <c r="D3" s="97" t="s">
        <v>81</v>
      </c>
      <c r="E3" s="98">
        <f>IFERROR(INDEX(Employees!$L:$L,SUMPRODUCT((Employees!$A$2:$A$102=C3)*(Employees!$C$2:$C$102=D3)*ROW(Employees!$A$2:$A$102))),"")</f>
        <v>6690.42</v>
      </c>
      <c r="F3" s="99">
        <v>195</v>
      </c>
      <c r="G3" s="98">
        <f>IFERROR(INDEX(Employees!$M:$M,SUMPRODUCT((Employees!$A$2:$A$102=C3)*(Employees!$C$2:$C$102=D3)*ROW(Employees!$A$2:$A$102))),"")</f>
        <v>34.309846153846152</v>
      </c>
      <c r="H3" s="99">
        <v>0</v>
      </c>
      <c r="I3" s="98">
        <f>IFERROR(ROUND(G3*Settings!$C$5,4),"")</f>
        <v>51.464799999999997</v>
      </c>
      <c r="J3" s="98">
        <f t="shared" si="0"/>
        <v>0</v>
      </c>
      <c r="K3" s="99">
        <v>0</v>
      </c>
      <c r="L3" s="98">
        <f>IFERROR(ROUND(G3*Settings!$C$6,4),"")</f>
        <v>68.619699999999995</v>
      </c>
      <c r="M3" s="98">
        <f t="shared" si="1"/>
        <v>0</v>
      </c>
      <c r="N3" s="99">
        <v>0</v>
      </c>
      <c r="O3" s="100">
        <v>0</v>
      </c>
      <c r="P3" s="98">
        <f t="shared" si="2"/>
        <v>0</v>
      </c>
      <c r="Q3" s="99">
        <v>0</v>
      </c>
      <c r="R3" s="99">
        <v>0</v>
      </c>
      <c r="S3" s="99">
        <v>0</v>
      </c>
      <c r="T3" s="99">
        <v>0</v>
      </c>
      <c r="U3" s="99">
        <v>0</v>
      </c>
      <c r="V3" s="99">
        <v>0</v>
      </c>
      <c r="W3" s="99">
        <v>0</v>
      </c>
      <c r="X3" s="99">
        <v>0</v>
      </c>
      <c r="Y3" s="99">
        <v>0</v>
      </c>
      <c r="Z3" s="99">
        <v>0</v>
      </c>
      <c r="AA3" s="99">
        <v>0</v>
      </c>
      <c r="AB3" s="98">
        <f t="shared" si="3"/>
        <v>6690.42</v>
      </c>
      <c r="AC3" s="98">
        <f t="shared" si="4"/>
        <v>0</v>
      </c>
      <c r="AD3" s="98">
        <f t="shared" si="5"/>
        <v>6690.42</v>
      </c>
      <c r="AF3" s="102"/>
      <c r="AG3" s="101" t="s">
        <v>188</v>
      </c>
    </row>
    <row r="4" spans="1:33" ht="15" customHeight="1" x14ac:dyDescent="0.25">
      <c r="A4" s="96" t="s">
        <v>15</v>
      </c>
      <c r="B4" s="97" t="s">
        <v>189</v>
      </c>
      <c r="C4" s="97" t="s">
        <v>58</v>
      </c>
      <c r="D4" s="97" t="s">
        <v>103</v>
      </c>
      <c r="E4" s="98">
        <f>IFERROR(INDEX(Employees!$L:$L,SUMPRODUCT((Employees!$A$2:$A$102=C4)*(Employees!$C$2:$C$102=D4)*ROW(Employees!$A$2:$A$102))),"")</f>
        <v>8500</v>
      </c>
      <c r="F4" s="99">
        <v>195</v>
      </c>
      <c r="G4" s="98">
        <f>IFERROR(INDEX(Employees!$M:$M,SUMPRODUCT((Employees!$A$2:$A$102=C4)*(Employees!$C$2:$C$102=D4)*ROW(Employees!$A$2:$A$102))),"")</f>
        <v>43.589743589743591</v>
      </c>
      <c r="H4" s="99">
        <v>12.5</v>
      </c>
      <c r="I4" s="98">
        <f>IFERROR(ROUND(G4*Settings!$C$5,4),"")</f>
        <v>65.384600000000006</v>
      </c>
      <c r="J4" s="98">
        <f t="shared" si="0"/>
        <v>817.31</v>
      </c>
      <c r="K4" s="99">
        <v>0</v>
      </c>
      <c r="L4" s="98">
        <f>IFERROR(ROUND(G4*Settings!$C$6,4),"")</f>
        <v>87.179500000000004</v>
      </c>
      <c r="M4" s="98">
        <f t="shared" si="1"/>
        <v>0</v>
      </c>
      <c r="N4" s="99">
        <v>0</v>
      </c>
      <c r="O4" s="100">
        <v>0</v>
      </c>
      <c r="P4" s="98">
        <f t="shared" si="2"/>
        <v>0</v>
      </c>
      <c r="Q4" s="99">
        <v>0</v>
      </c>
      <c r="R4" s="99">
        <v>500</v>
      </c>
      <c r="S4" s="99">
        <v>250</v>
      </c>
      <c r="T4" s="99">
        <v>0</v>
      </c>
      <c r="U4" s="99">
        <v>0</v>
      </c>
      <c r="V4" s="99">
        <v>0</v>
      </c>
      <c r="W4" s="99">
        <v>0</v>
      </c>
      <c r="X4" s="99">
        <v>0</v>
      </c>
      <c r="Y4" s="99">
        <v>0</v>
      </c>
      <c r="Z4" s="99">
        <v>0</v>
      </c>
      <c r="AA4" s="99">
        <v>0</v>
      </c>
      <c r="AB4" s="98">
        <f t="shared" si="3"/>
        <v>10067.31</v>
      </c>
      <c r="AC4" s="98">
        <f t="shared" si="4"/>
        <v>0</v>
      </c>
      <c r="AD4" s="98">
        <f t="shared" si="5"/>
        <v>10067.31</v>
      </c>
    </row>
    <row r="5" spans="1:33" ht="15" customHeight="1" x14ac:dyDescent="0.25">
      <c r="A5" s="96" t="s">
        <v>15</v>
      </c>
      <c r="B5" s="97"/>
      <c r="C5" s="97" t="s">
        <v>4</v>
      </c>
      <c r="D5" s="97" t="s">
        <v>141</v>
      </c>
      <c r="E5" s="103">
        <f>IFERROR(INDEX(Employees!$L:$L,SUMPRODUCT((Employees!$A$2:$A$102=C5)*(Employees!$C$2:$C$102=D5)*ROW(Employees!$A$2:$A$102))),"")</f>
        <v>5894.4</v>
      </c>
      <c r="F5" s="97">
        <v>195</v>
      </c>
      <c r="G5" s="104">
        <f>IFERROR(INDEX(Employees!$M:$M,SUMPRODUCT((Employees!$A$2:$A$102=C5)*(Employees!$C$2:$C$102=D5)*ROW(Employees!$A$2:$A$102))),"")</f>
        <v>30.227692307692305</v>
      </c>
      <c r="H5" s="97">
        <v>2</v>
      </c>
      <c r="I5" s="105">
        <f>IFERROR(ROUND(G5*Settings!$C$5,4),"")</f>
        <v>45.341500000000003</v>
      </c>
      <c r="J5" s="105">
        <f t="shared" si="0"/>
        <v>90.68</v>
      </c>
      <c r="K5" s="97">
        <v>0</v>
      </c>
      <c r="L5" s="105">
        <f>IFERROR(ROUND(G5*Settings!$C$6,4),"")</f>
        <v>60.455399999999997</v>
      </c>
      <c r="M5" s="105">
        <f t="shared" si="1"/>
        <v>0</v>
      </c>
      <c r="N5" s="97">
        <v>0</v>
      </c>
      <c r="O5" s="97">
        <v>0</v>
      </c>
      <c r="P5" s="105">
        <f t="shared" si="2"/>
        <v>0</v>
      </c>
      <c r="Q5" s="97">
        <v>0</v>
      </c>
      <c r="R5" s="97">
        <v>0</v>
      </c>
      <c r="S5" s="97">
        <v>0</v>
      </c>
      <c r="T5" s="97">
        <v>0</v>
      </c>
      <c r="U5" s="97">
        <v>0</v>
      </c>
      <c r="V5" s="97">
        <v>0</v>
      </c>
      <c r="W5" s="97">
        <v>0</v>
      </c>
      <c r="X5" s="97">
        <v>0</v>
      </c>
      <c r="Y5" s="97">
        <v>0</v>
      </c>
      <c r="Z5" s="97">
        <v>0</v>
      </c>
      <c r="AA5" s="97">
        <v>0</v>
      </c>
      <c r="AB5" s="105">
        <f t="shared" si="3"/>
        <v>5985.08</v>
      </c>
      <c r="AC5" s="105">
        <f t="shared" si="4"/>
        <v>0</v>
      </c>
      <c r="AD5" s="105">
        <f t="shared" si="5"/>
        <v>5985.08</v>
      </c>
    </row>
    <row r="6" spans="1:33" ht="15" customHeight="1" x14ac:dyDescent="0.25">
      <c r="A6" s="96"/>
      <c r="B6" s="97"/>
      <c r="C6" s="97"/>
      <c r="D6" s="97"/>
      <c r="E6" s="105">
        <f>IFERROR(INDEX(Employees!$L:$L,SUMPRODUCT((Employees!$A$2:$A$102=C6)*(Employees!$C$2:$C$102=D6)*ROW(Employees!$A$2:$A$102))),"")</f>
        <v>0</v>
      </c>
      <c r="F6" s="97"/>
      <c r="G6" s="105">
        <f>IFERROR(INDEX(Employees!$M:$M,SUMPRODUCT((Employees!$A$2:$A$102=C6)*(Employees!$C$2:$C$102=D6)*ROW(Employees!$A$2:$A$102))),"")</f>
        <v>0</v>
      </c>
      <c r="H6" s="97"/>
      <c r="I6" s="105">
        <f>IFERROR(ROUND(G6*Settings!$C$5,4),"")</f>
        <v>0</v>
      </c>
      <c r="J6" s="105">
        <f t="shared" si="0"/>
        <v>0</v>
      </c>
      <c r="K6" s="97"/>
      <c r="L6" s="105">
        <f>IFERROR(ROUND(G6*Settings!$C$6,4),"")</f>
        <v>0</v>
      </c>
      <c r="M6" s="105">
        <f t="shared" si="1"/>
        <v>0</v>
      </c>
      <c r="N6" s="97"/>
      <c r="O6" s="97"/>
      <c r="P6" s="105">
        <f t="shared" si="2"/>
        <v>0</v>
      </c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105">
        <f t="shared" si="3"/>
        <v>0</v>
      </c>
      <c r="AC6" s="105">
        <f t="shared" si="4"/>
        <v>0</v>
      </c>
      <c r="AD6" s="105">
        <f t="shared" si="5"/>
        <v>0</v>
      </c>
    </row>
    <row r="7" spans="1:33" ht="15" customHeight="1" x14ac:dyDescent="0.25">
      <c r="A7" s="96"/>
      <c r="B7" s="97"/>
      <c r="C7" s="97"/>
      <c r="D7" s="97"/>
      <c r="E7" s="105">
        <f>IFERROR(INDEX(Employees!$L:$L,SUMPRODUCT((Employees!$A$2:$A$102=C7)*(Employees!$C$2:$C$102=D7)*ROW(Employees!$A$2:$A$102))),"")</f>
        <v>0</v>
      </c>
      <c r="F7" s="97"/>
      <c r="G7" s="105">
        <f>IFERROR(INDEX(Employees!$M:$M,SUMPRODUCT((Employees!$A$2:$A$102=C7)*(Employees!$C$2:$C$102=D7)*ROW(Employees!$A$2:$A$102))),"")</f>
        <v>0</v>
      </c>
      <c r="H7" s="97"/>
      <c r="I7" s="105">
        <f>IFERROR(ROUND(G7*Settings!$C$5,4),"")</f>
        <v>0</v>
      </c>
      <c r="J7" s="105">
        <f t="shared" si="0"/>
        <v>0</v>
      </c>
      <c r="K7" s="97"/>
      <c r="L7" s="105">
        <f>IFERROR(ROUND(G7*Settings!$C$6,4),"")</f>
        <v>0</v>
      </c>
      <c r="M7" s="105">
        <f t="shared" si="1"/>
        <v>0</v>
      </c>
      <c r="N7" s="97"/>
      <c r="O7" s="97"/>
      <c r="P7" s="105">
        <f t="shared" si="2"/>
        <v>0</v>
      </c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5">
        <f t="shared" si="3"/>
        <v>0</v>
      </c>
      <c r="AC7" s="105">
        <f t="shared" si="4"/>
        <v>0</v>
      </c>
      <c r="AD7" s="105">
        <f t="shared" si="5"/>
        <v>0</v>
      </c>
    </row>
    <row r="8" spans="1:33" ht="15" customHeight="1" x14ac:dyDescent="0.25">
      <c r="A8" s="96"/>
      <c r="B8" s="97"/>
      <c r="C8" s="97"/>
      <c r="D8" s="97"/>
      <c r="E8" s="105">
        <f>IFERROR(INDEX(Employees!$L:$L,SUMPRODUCT((Employees!$A$2:$A$102=C8)*(Employees!$C$2:$C$102=D8)*ROW(Employees!$A$2:$A$102))),"")</f>
        <v>0</v>
      </c>
      <c r="F8" s="97"/>
      <c r="G8" s="105">
        <f>IFERROR(INDEX(Employees!$M:$M,SUMPRODUCT((Employees!$A$2:$A$102=C8)*(Employees!$C$2:$C$102=D8)*ROW(Employees!$A$2:$A$102))),"")</f>
        <v>0</v>
      </c>
      <c r="H8" s="97"/>
      <c r="I8" s="105">
        <f>IFERROR(ROUND(G8*Settings!$C$5,4),"")</f>
        <v>0</v>
      </c>
      <c r="J8" s="105">
        <f t="shared" si="0"/>
        <v>0</v>
      </c>
      <c r="K8" s="97"/>
      <c r="L8" s="105">
        <f>IFERROR(ROUND(G8*Settings!$C$6,4),"")</f>
        <v>0</v>
      </c>
      <c r="M8" s="105">
        <f t="shared" si="1"/>
        <v>0</v>
      </c>
      <c r="N8" s="97"/>
      <c r="O8" s="97"/>
      <c r="P8" s="105">
        <f t="shared" si="2"/>
        <v>0</v>
      </c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105">
        <f t="shared" si="3"/>
        <v>0</v>
      </c>
      <c r="AC8" s="105">
        <f t="shared" si="4"/>
        <v>0</v>
      </c>
      <c r="AD8" s="105">
        <f t="shared" si="5"/>
        <v>0</v>
      </c>
    </row>
    <row r="9" spans="1:33" ht="15" customHeight="1" x14ac:dyDescent="0.25">
      <c r="A9" s="96"/>
      <c r="B9" s="97"/>
      <c r="C9" s="97"/>
      <c r="D9" s="97"/>
      <c r="E9" s="105">
        <f>IFERROR(INDEX(Employees!$L:$L,SUMPRODUCT((Employees!$A$2:$A$102=C9)*(Employees!$C$2:$C$102=D9)*ROW(Employees!$A$2:$A$102))),"")</f>
        <v>0</v>
      </c>
      <c r="F9" s="97"/>
      <c r="G9" s="105">
        <f>IFERROR(INDEX(Employees!$M:$M,SUMPRODUCT((Employees!$A$2:$A$102=C9)*(Employees!$C$2:$C$102=D9)*ROW(Employees!$A$2:$A$102))),"")</f>
        <v>0</v>
      </c>
      <c r="H9" s="97"/>
      <c r="I9" s="105">
        <f>IFERROR(ROUND(G9*Settings!$C$5,4),"")</f>
        <v>0</v>
      </c>
      <c r="J9" s="105">
        <f t="shared" si="0"/>
        <v>0</v>
      </c>
      <c r="K9" s="97"/>
      <c r="L9" s="105">
        <f>IFERROR(ROUND(G9*Settings!$C$6,4),"")</f>
        <v>0</v>
      </c>
      <c r="M9" s="105">
        <f t="shared" si="1"/>
        <v>0</v>
      </c>
      <c r="N9" s="97"/>
      <c r="O9" s="97"/>
      <c r="P9" s="105">
        <f t="shared" si="2"/>
        <v>0</v>
      </c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105">
        <f t="shared" si="3"/>
        <v>0</v>
      </c>
      <c r="AC9" s="105">
        <f t="shared" si="4"/>
        <v>0</v>
      </c>
      <c r="AD9" s="105">
        <f t="shared" si="5"/>
        <v>0</v>
      </c>
    </row>
    <row r="10" spans="1:33" ht="15" customHeight="1" x14ac:dyDescent="0.25">
      <c r="A10" s="96"/>
      <c r="B10" s="97"/>
      <c r="C10" s="97"/>
      <c r="D10" s="97"/>
      <c r="E10" s="105">
        <f>IFERROR(INDEX(Employees!$L:$L,SUMPRODUCT((Employees!$A$2:$A$102=C10)*(Employees!$C$2:$C$102=D10)*ROW(Employees!$A$2:$A$102))),"")</f>
        <v>0</v>
      </c>
      <c r="F10" s="97"/>
      <c r="G10" s="105">
        <f>IFERROR(INDEX(Employees!$M:$M,SUMPRODUCT((Employees!$A$2:$A$102=C10)*(Employees!$C$2:$C$102=D10)*ROW(Employees!$A$2:$A$102))),"")</f>
        <v>0</v>
      </c>
      <c r="H10" s="97"/>
      <c r="I10" s="105">
        <f>IFERROR(ROUND(G10*Settings!$C$5,4),"")</f>
        <v>0</v>
      </c>
      <c r="J10" s="105">
        <f t="shared" si="0"/>
        <v>0</v>
      </c>
      <c r="K10" s="97"/>
      <c r="L10" s="105">
        <f>IFERROR(ROUND(G10*Settings!$C$6,4),"")</f>
        <v>0</v>
      </c>
      <c r="M10" s="105">
        <f t="shared" si="1"/>
        <v>0</v>
      </c>
      <c r="N10" s="97"/>
      <c r="O10" s="97"/>
      <c r="P10" s="105">
        <f t="shared" si="2"/>
        <v>0</v>
      </c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105">
        <f t="shared" si="3"/>
        <v>0</v>
      </c>
      <c r="AC10" s="105">
        <f t="shared" si="4"/>
        <v>0</v>
      </c>
      <c r="AD10" s="105">
        <f t="shared" si="5"/>
        <v>0</v>
      </c>
    </row>
    <row r="11" spans="1:33" ht="15" customHeight="1" x14ac:dyDescent="0.25">
      <c r="A11" s="96"/>
      <c r="B11" s="97"/>
      <c r="C11" s="97"/>
      <c r="D11" s="97"/>
      <c r="E11" s="105">
        <f>IFERROR(INDEX(Employees!$L:$L,SUMPRODUCT((Employees!$A$2:$A$102=C11)*(Employees!$C$2:$C$102=D11)*ROW(Employees!$A$2:$A$102))),"")</f>
        <v>0</v>
      </c>
      <c r="F11" s="97"/>
      <c r="G11" s="105">
        <f>IFERROR(INDEX(Employees!$M:$M,SUMPRODUCT((Employees!$A$2:$A$102=C11)*(Employees!$C$2:$C$102=D11)*ROW(Employees!$A$2:$A$102))),"")</f>
        <v>0</v>
      </c>
      <c r="H11" s="97"/>
      <c r="I11" s="105">
        <f>IFERROR(ROUND(G11*Settings!$C$5,4),"")</f>
        <v>0</v>
      </c>
      <c r="J11" s="105">
        <f t="shared" si="0"/>
        <v>0</v>
      </c>
      <c r="K11" s="97"/>
      <c r="L11" s="105">
        <f>IFERROR(ROUND(G11*Settings!$C$6,4),"")</f>
        <v>0</v>
      </c>
      <c r="M11" s="105">
        <f t="shared" si="1"/>
        <v>0</v>
      </c>
      <c r="N11" s="97"/>
      <c r="O11" s="97"/>
      <c r="P11" s="105">
        <f t="shared" si="2"/>
        <v>0</v>
      </c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105">
        <f t="shared" si="3"/>
        <v>0</v>
      </c>
      <c r="AC11" s="105">
        <f t="shared" si="4"/>
        <v>0</v>
      </c>
      <c r="AD11" s="105">
        <f t="shared" si="5"/>
        <v>0</v>
      </c>
    </row>
    <row r="12" spans="1:33" ht="15" customHeight="1" x14ac:dyDescent="0.25">
      <c r="A12" s="96"/>
      <c r="B12" s="97"/>
      <c r="C12" s="97"/>
      <c r="D12" s="97"/>
      <c r="E12" s="105">
        <f>IFERROR(INDEX(Employees!$L:$L,SUMPRODUCT((Employees!$A$2:$A$102=C12)*(Employees!$C$2:$C$102=D12)*ROW(Employees!$A$2:$A$102))),"")</f>
        <v>0</v>
      </c>
      <c r="F12" s="97"/>
      <c r="G12" s="105">
        <f>IFERROR(INDEX(Employees!$M:$M,SUMPRODUCT((Employees!$A$2:$A$102=C12)*(Employees!$C$2:$C$102=D12)*ROW(Employees!$A$2:$A$102))),"")</f>
        <v>0</v>
      </c>
      <c r="H12" s="97"/>
      <c r="I12" s="105">
        <f>IFERROR(ROUND(G12*Settings!$C$5,4),"")</f>
        <v>0</v>
      </c>
      <c r="J12" s="105">
        <f t="shared" si="0"/>
        <v>0</v>
      </c>
      <c r="K12" s="97"/>
      <c r="L12" s="105">
        <f>IFERROR(ROUND(G12*Settings!$C$6,4),"")</f>
        <v>0</v>
      </c>
      <c r="M12" s="105">
        <f t="shared" si="1"/>
        <v>0</v>
      </c>
      <c r="N12" s="97"/>
      <c r="O12" s="97"/>
      <c r="P12" s="105">
        <f t="shared" si="2"/>
        <v>0</v>
      </c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105">
        <f t="shared" si="3"/>
        <v>0</v>
      </c>
      <c r="AC12" s="105">
        <f t="shared" si="4"/>
        <v>0</v>
      </c>
      <c r="AD12" s="105">
        <f t="shared" si="5"/>
        <v>0</v>
      </c>
    </row>
    <row r="13" spans="1:33" ht="15" customHeight="1" x14ac:dyDescent="0.25">
      <c r="A13" s="96"/>
      <c r="B13" s="97"/>
      <c r="C13" s="97"/>
      <c r="D13" s="97"/>
      <c r="E13" s="105">
        <f>IFERROR(INDEX(Employees!$L:$L,SUMPRODUCT((Employees!$A$2:$A$102=C13)*(Employees!$C$2:$C$102=D13)*ROW(Employees!$A$2:$A$102))),"")</f>
        <v>0</v>
      </c>
      <c r="F13" s="97"/>
      <c r="G13" s="105">
        <f>IFERROR(INDEX(Employees!$M:$M,SUMPRODUCT((Employees!$A$2:$A$102=C13)*(Employees!$C$2:$C$102=D13)*ROW(Employees!$A$2:$A$102))),"")</f>
        <v>0</v>
      </c>
      <c r="H13" s="97"/>
      <c r="I13" s="105">
        <f>IFERROR(ROUND(G13*Settings!$C$5,4),"")</f>
        <v>0</v>
      </c>
      <c r="J13" s="105">
        <f t="shared" si="0"/>
        <v>0</v>
      </c>
      <c r="K13" s="97"/>
      <c r="L13" s="105">
        <f>IFERROR(ROUND(G13*Settings!$C$6,4),"")</f>
        <v>0</v>
      </c>
      <c r="M13" s="105">
        <f t="shared" si="1"/>
        <v>0</v>
      </c>
      <c r="N13" s="97"/>
      <c r="O13" s="97"/>
      <c r="P13" s="105">
        <f t="shared" si="2"/>
        <v>0</v>
      </c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105">
        <f t="shared" si="3"/>
        <v>0</v>
      </c>
      <c r="AC13" s="105">
        <f t="shared" si="4"/>
        <v>0</v>
      </c>
      <c r="AD13" s="105">
        <f t="shared" si="5"/>
        <v>0</v>
      </c>
    </row>
    <row r="14" spans="1:33" ht="15" customHeight="1" x14ac:dyDescent="0.25">
      <c r="A14" s="96"/>
      <c r="B14" s="97"/>
      <c r="C14" s="97"/>
      <c r="D14" s="97"/>
      <c r="E14" s="105">
        <f>IFERROR(INDEX(Employees!$L:$L,SUMPRODUCT((Employees!$A$2:$A$102=C14)*(Employees!$C$2:$C$102=D14)*ROW(Employees!$A$2:$A$102))),"")</f>
        <v>0</v>
      </c>
      <c r="F14" s="97"/>
      <c r="G14" s="105">
        <f>IFERROR(INDEX(Employees!$M:$M,SUMPRODUCT((Employees!$A$2:$A$102=C14)*(Employees!$C$2:$C$102=D14)*ROW(Employees!$A$2:$A$102))),"")</f>
        <v>0</v>
      </c>
      <c r="H14" s="97"/>
      <c r="I14" s="105">
        <f>IFERROR(ROUND(G14*Settings!$C$5,4),"")</f>
        <v>0</v>
      </c>
      <c r="J14" s="105">
        <f t="shared" si="0"/>
        <v>0</v>
      </c>
      <c r="K14" s="97"/>
      <c r="L14" s="105">
        <f>IFERROR(ROUND(G14*Settings!$C$6,4),"")</f>
        <v>0</v>
      </c>
      <c r="M14" s="105">
        <f t="shared" si="1"/>
        <v>0</v>
      </c>
      <c r="N14" s="97"/>
      <c r="O14" s="97"/>
      <c r="P14" s="105">
        <f t="shared" si="2"/>
        <v>0</v>
      </c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105">
        <f t="shared" si="3"/>
        <v>0</v>
      </c>
      <c r="AC14" s="105">
        <f t="shared" si="4"/>
        <v>0</v>
      </c>
      <c r="AD14" s="105">
        <f t="shared" si="5"/>
        <v>0</v>
      </c>
    </row>
    <row r="15" spans="1:33" ht="15" customHeight="1" x14ac:dyDescent="0.25">
      <c r="A15" s="96"/>
      <c r="B15" s="97"/>
      <c r="C15" s="97"/>
      <c r="D15" s="97"/>
      <c r="E15" s="105">
        <f>IFERROR(INDEX(Employees!$L:$L,SUMPRODUCT((Employees!$A$2:$A$102=C15)*(Employees!$C$2:$C$102=D15)*ROW(Employees!$A$2:$A$102))),"")</f>
        <v>0</v>
      </c>
      <c r="F15" s="97"/>
      <c r="G15" s="105">
        <f>IFERROR(INDEX(Employees!$M:$M,SUMPRODUCT((Employees!$A$2:$A$102=C15)*(Employees!$C$2:$C$102=D15)*ROW(Employees!$A$2:$A$102))),"")</f>
        <v>0</v>
      </c>
      <c r="H15" s="97"/>
      <c r="I15" s="105">
        <f>IFERROR(ROUND(G15*Settings!$C$5,4),"")</f>
        <v>0</v>
      </c>
      <c r="J15" s="105">
        <f t="shared" si="0"/>
        <v>0</v>
      </c>
      <c r="K15" s="97"/>
      <c r="L15" s="105">
        <f>IFERROR(ROUND(G15*Settings!$C$6,4),"")</f>
        <v>0</v>
      </c>
      <c r="M15" s="105">
        <f t="shared" si="1"/>
        <v>0</v>
      </c>
      <c r="N15" s="97"/>
      <c r="O15" s="97"/>
      <c r="P15" s="105">
        <f t="shared" si="2"/>
        <v>0</v>
      </c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105">
        <f t="shared" si="3"/>
        <v>0</v>
      </c>
      <c r="AC15" s="105">
        <f t="shared" si="4"/>
        <v>0</v>
      </c>
      <c r="AD15" s="105">
        <f t="shared" si="5"/>
        <v>0</v>
      </c>
    </row>
    <row r="16" spans="1:33" ht="15" customHeight="1" x14ac:dyDescent="0.25">
      <c r="A16" s="96"/>
      <c r="B16" s="97"/>
      <c r="C16" s="97"/>
      <c r="D16" s="97"/>
      <c r="E16" s="105">
        <f>IFERROR(INDEX(Employees!$L:$L,SUMPRODUCT((Employees!$A$2:$A$102=C16)*(Employees!$C$2:$C$102=D16)*ROW(Employees!$A$2:$A$102))),"")</f>
        <v>0</v>
      </c>
      <c r="F16" s="97"/>
      <c r="G16" s="105">
        <f>IFERROR(INDEX(Employees!$M:$M,SUMPRODUCT((Employees!$A$2:$A$102=C16)*(Employees!$C$2:$C$102=D16)*ROW(Employees!$A$2:$A$102))),"")</f>
        <v>0</v>
      </c>
      <c r="H16" s="97"/>
      <c r="I16" s="105">
        <f>IFERROR(ROUND(G16*Settings!$C$5,4),"")</f>
        <v>0</v>
      </c>
      <c r="J16" s="105">
        <f t="shared" si="0"/>
        <v>0</v>
      </c>
      <c r="K16" s="97"/>
      <c r="L16" s="105">
        <f>IFERROR(ROUND(G16*Settings!$C$6,4),"")</f>
        <v>0</v>
      </c>
      <c r="M16" s="105">
        <f t="shared" si="1"/>
        <v>0</v>
      </c>
      <c r="N16" s="97"/>
      <c r="O16" s="97"/>
      <c r="P16" s="105">
        <f t="shared" si="2"/>
        <v>0</v>
      </c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105">
        <f t="shared" si="3"/>
        <v>0</v>
      </c>
      <c r="AC16" s="105">
        <f t="shared" si="4"/>
        <v>0</v>
      </c>
      <c r="AD16" s="105">
        <f t="shared" si="5"/>
        <v>0</v>
      </c>
    </row>
    <row r="17" spans="1:30" ht="15" customHeight="1" x14ac:dyDescent="0.25">
      <c r="A17" s="96"/>
      <c r="B17" s="97"/>
      <c r="C17" s="97"/>
      <c r="D17" s="97"/>
      <c r="E17" s="105">
        <f>IFERROR(INDEX(Employees!$L:$L,SUMPRODUCT((Employees!$A$2:$A$102=C17)*(Employees!$C$2:$C$102=D17)*ROW(Employees!$A$2:$A$102))),"")</f>
        <v>0</v>
      </c>
      <c r="F17" s="97"/>
      <c r="G17" s="105">
        <f>IFERROR(INDEX(Employees!$M:$M,SUMPRODUCT((Employees!$A$2:$A$102=C17)*(Employees!$C$2:$C$102=D17)*ROW(Employees!$A$2:$A$102))),"")</f>
        <v>0</v>
      </c>
      <c r="H17" s="97"/>
      <c r="I17" s="105">
        <f>IFERROR(ROUND(G17*Settings!$C$5,4),"")</f>
        <v>0</v>
      </c>
      <c r="J17" s="105">
        <f t="shared" si="0"/>
        <v>0</v>
      </c>
      <c r="K17" s="97"/>
      <c r="L17" s="105">
        <f>IFERROR(ROUND(G17*Settings!$C$6,4),"")</f>
        <v>0</v>
      </c>
      <c r="M17" s="105">
        <f t="shared" si="1"/>
        <v>0</v>
      </c>
      <c r="N17" s="97"/>
      <c r="O17" s="97"/>
      <c r="P17" s="105">
        <f t="shared" si="2"/>
        <v>0</v>
      </c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105">
        <f t="shared" si="3"/>
        <v>0</v>
      </c>
      <c r="AC17" s="105">
        <f t="shared" si="4"/>
        <v>0</v>
      </c>
      <c r="AD17" s="105">
        <f t="shared" si="5"/>
        <v>0</v>
      </c>
    </row>
    <row r="18" spans="1:30" ht="15" customHeight="1" x14ac:dyDescent="0.25">
      <c r="A18" s="96"/>
      <c r="B18" s="97"/>
      <c r="C18" s="97"/>
      <c r="D18" s="97"/>
      <c r="E18" s="105">
        <f>IFERROR(INDEX(Employees!$L:$L,SUMPRODUCT((Employees!$A$2:$A$102=C18)*(Employees!$C$2:$C$102=D18)*ROW(Employees!$A$2:$A$102))),"")</f>
        <v>0</v>
      </c>
      <c r="F18" s="97"/>
      <c r="G18" s="105">
        <f>IFERROR(INDEX(Employees!$M:$M,SUMPRODUCT((Employees!$A$2:$A$102=C18)*(Employees!$C$2:$C$102=D18)*ROW(Employees!$A$2:$A$102))),"")</f>
        <v>0</v>
      </c>
      <c r="H18" s="97"/>
      <c r="I18" s="105">
        <f>IFERROR(ROUND(G18*Settings!$C$5,4),"")</f>
        <v>0</v>
      </c>
      <c r="J18" s="105">
        <f t="shared" si="0"/>
        <v>0</v>
      </c>
      <c r="K18" s="97"/>
      <c r="L18" s="105">
        <f>IFERROR(ROUND(G18*Settings!$C$6,4),"")</f>
        <v>0</v>
      </c>
      <c r="M18" s="105">
        <f t="shared" si="1"/>
        <v>0</v>
      </c>
      <c r="N18" s="97"/>
      <c r="O18" s="97"/>
      <c r="P18" s="105">
        <f t="shared" si="2"/>
        <v>0</v>
      </c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105">
        <f t="shared" si="3"/>
        <v>0</v>
      </c>
      <c r="AC18" s="105">
        <f t="shared" si="4"/>
        <v>0</v>
      </c>
      <c r="AD18" s="105">
        <f t="shared" si="5"/>
        <v>0</v>
      </c>
    </row>
    <row r="19" spans="1:30" ht="15" customHeight="1" x14ac:dyDescent="0.25">
      <c r="A19" s="96"/>
      <c r="B19" s="97"/>
      <c r="C19" s="97"/>
      <c r="D19" s="97"/>
      <c r="E19" s="105">
        <f>IFERROR(INDEX(Employees!$L:$L,SUMPRODUCT((Employees!$A$2:$A$102=C19)*(Employees!$C$2:$C$102=D19)*ROW(Employees!$A$2:$A$102))),"")</f>
        <v>0</v>
      </c>
      <c r="F19" s="97"/>
      <c r="G19" s="105">
        <f>IFERROR(INDEX(Employees!$M:$M,SUMPRODUCT((Employees!$A$2:$A$102=C19)*(Employees!$C$2:$C$102=D19)*ROW(Employees!$A$2:$A$102))),"")</f>
        <v>0</v>
      </c>
      <c r="H19" s="97"/>
      <c r="I19" s="105">
        <f>IFERROR(ROUND(G19*Settings!$C$5,4),"")</f>
        <v>0</v>
      </c>
      <c r="J19" s="105">
        <f t="shared" si="0"/>
        <v>0</v>
      </c>
      <c r="K19" s="97"/>
      <c r="L19" s="105">
        <f>IFERROR(ROUND(G19*Settings!$C$6,4),"")</f>
        <v>0</v>
      </c>
      <c r="M19" s="105">
        <f t="shared" si="1"/>
        <v>0</v>
      </c>
      <c r="N19" s="97"/>
      <c r="O19" s="97"/>
      <c r="P19" s="105">
        <f t="shared" si="2"/>
        <v>0</v>
      </c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105">
        <f t="shared" si="3"/>
        <v>0</v>
      </c>
      <c r="AC19" s="105">
        <f t="shared" si="4"/>
        <v>0</v>
      </c>
      <c r="AD19" s="105">
        <f t="shared" si="5"/>
        <v>0</v>
      </c>
    </row>
    <row r="20" spans="1:30" ht="15" customHeight="1" x14ac:dyDescent="0.25">
      <c r="A20" s="96"/>
      <c r="B20" s="97"/>
      <c r="C20" s="97"/>
      <c r="D20" s="97"/>
      <c r="E20" s="105">
        <f>IFERROR(INDEX(Employees!$L:$L,SUMPRODUCT((Employees!$A$2:$A$102=C20)*(Employees!$C$2:$C$102=D20)*ROW(Employees!$A$2:$A$102))),"")</f>
        <v>0</v>
      </c>
      <c r="F20" s="97"/>
      <c r="G20" s="105">
        <f>IFERROR(INDEX(Employees!$M:$M,SUMPRODUCT((Employees!$A$2:$A$102=C20)*(Employees!$C$2:$C$102=D20)*ROW(Employees!$A$2:$A$102))),"")</f>
        <v>0</v>
      </c>
      <c r="H20" s="97"/>
      <c r="I20" s="105">
        <f>IFERROR(ROUND(G20*Settings!$C$5,4),"")</f>
        <v>0</v>
      </c>
      <c r="J20" s="105">
        <f t="shared" si="0"/>
        <v>0</v>
      </c>
      <c r="K20" s="97"/>
      <c r="L20" s="105">
        <f>IFERROR(ROUND(G20*Settings!$C$6,4),"")</f>
        <v>0</v>
      </c>
      <c r="M20" s="105">
        <f t="shared" si="1"/>
        <v>0</v>
      </c>
      <c r="N20" s="97"/>
      <c r="O20" s="97"/>
      <c r="P20" s="105">
        <f t="shared" si="2"/>
        <v>0</v>
      </c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105">
        <f t="shared" si="3"/>
        <v>0</v>
      </c>
      <c r="AC20" s="105">
        <f t="shared" si="4"/>
        <v>0</v>
      </c>
      <c r="AD20" s="105">
        <f t="shared" si="5"/>
        <v>0</v>
      </c>
    </row>
    <row r="21" spans="1:30" ht="15" customHeight="1" x14ac:dyDescent="0.25">
      <c r="A21" s="96"/>
      <c r="B21" s="97"/>
      <c r="C21" s="97"/>
      <c r="D21" s="97"/>
      <c r="E21" s="105">
        <f>IFERROR(INDEX(Employees!$L:$L,SUMPRODUCT((Employees!$A$2:$A$102=C21)*(Employees!$C$2:$C$102=D21)*ROW(Employees!$A$2:$A$102))),"")</f>
        <v>0</v>
      </c>
      <c r="F21" s="97"/>
      <c r="G21" s="105">
        <f>IFERROR(INDEX(Employees!$M:$M,SUMPRODUCT((Employees!$A$2:$A$102=C21)*(Employees!$C$2:$C$102=D21)*ROW(Employees!$A$2:$A$102))),"")</f>
        <v>0</v>
      </c>
      <c r="H21" s="97"/>
      <c r="I21" s="105">
        <f>IFERROR(ROUND(G21*Settings!$C$5,4),"")</f>
        <v>0</v>
      </c>
      <c r="J21" s="105">
        <f t="shared" si="0"/>
        <v>0</v>
      </c>
      <c r="K21" s="97"/>
      <c r="L21" s="105">
        <f>IFERROR(ROUND(G21*Settings!$C$6,4),"")</f>
        <v>0</v>
      </c>
      <c r="M21" s="105">
        <f t="shared" si="1"/>
        <v>0</v>
      </c>
      <c r="N21" s="97"/>
      <c r="O21" s="97"/>
      <c r="P21" s="105">
        <f t="shared" si="2"/>
        <v>0</v>
      </c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105">
        <f t="shared" si="3"/>
        <v>0</v>
      </c>
      <c r="AC21" s="105">
        <f t="shared" si="4"/>
        <v>0</v>
      </c>
      <c r="AD21" s="105">
        <f t="shared" si="5"/>
        <v>0</v>
      </c>
    </row>
    <row r="22" spans="1:30" ht="15" customHeight="1" x14ac:dyDescent="0.25">
      <c r="A22" s="96"/>
      <c r="B22" s="97"/>
      <c r="C22" s="97"/>
      <c r="D22" s="97"/>
      <c r="E22" s="105">
        <f>IFERROR(INDEX(Employees!$L:$L,SUMPRODUCT((Employees!$A$2:$A$102=C22)*(Employees!$C$2:$C$102=D22)*ROW(Employees!$A$2:$A$102))),"")</f>
        <v>0</v>
      </c>
      <c r="F22" s="97"/>
      <c r="G22" s="105">
        <f>IFERROR(INDEX(Employees!$M:$M,SUMPRODUCT((Employees!$A$2:$A$102=C22)*(Employees!$C$2:$C$102=D22)*ROW(Employees!$A$2:$A$102))),"")</f>
        <v>0</v>
      </c>
      <c r="H22" s="97"/>
      <c r="I22" s="105">
        <f>IFERROR(ROUND(G22*Settings!$C$5,4),"")</f>
        <v>0</v>
      </c>
      <c r="J22" s="105">
        <f t="shared" si="0"/>
        <v>0</v>
      </c>
      <c r="K22" s="97"/>
      <c r="L22" s="105">
        <f>IFERROR(ROUND(G22*Settings!$C$6,4),"")</f>
        <v>0</v>
      </c>
      <c r="M22" s="105">
        <f t="shared" si="1"/>
        <v>0</v>
      </c>
      <c r="N22" s="97"/>
      <c r="O22" s="97"/>
      <c r="P22" s="105">
        <f t="shared" si="2"/>
        <v>0</v>
      </c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105">
        <f t="shared" si="3"/>
        <v>0</v>
      </c>
      <c r="AC22" s="105">
        <f t="shared" si="4"/>
        <v>0</v>
      </c>
      <c r="AD22" s="105">
        <f t="shared" si="5"/>
        <v>0</v>
      </c>
    </row>
    <row r="23" spans="1:30" ht="15" customHeight="1" x14ac:dyDescent="0.25">
      <c r="A23" s="96"/>
      <c r="B23" s="97"/>
      <c r="C23" s="97"/>
      <c r="D23" s="97"/>
      <c r="E23" s="105">
        <f>IFERROR(INDEX(Employees!$L:$L,SUMPRODUCT((Employees!$A$2:$A$102=C23)*(Employees!$C$2:$C$102=D23)*ROW(Employees!$A$2:$A$102))),"")</f>
        <v>0</v>
      </c>
      <c r="F23" s="97"/>
      <c r="G23" s="105">
        <f>IFERROR(INDEX(Employees!$M:$M,SUMPRODUCT((Employees!$A$2:$A$102=C23)*(Employees!$C$2:$C$102=D23)*ROW(Employees!$A$2:$A$102))),"")</f>
        <v>0</v>
      </c>
      <c r="H23" s="97"/>
      <c r="I23" s="105">
        <f>IFERROR(ROUND(G23*Settings!$C$5,4),"")</f>
        <v>0</v>
      </c>
      <c r="J23" s="105">
        <f t="shared" si="0"/>
        <v>0</v>
      </c>
      <c r="K23" s="97"/>
      <c r="L23" s="105">
        <f>IFERROR(ROUND(G23*Settings!$C$6,4),"")</f>
        <v>0</v>
      </c>
      <c r="M23" s="105">
        <f t="shared" si="1"/>
        <v>0</v>
      </c>
      <c r="N23" s="97"/>
      <c r="O23" s="97"/>
      <c r="P23" s="105">
        <f t="shared" si="2"/>
        <v>0</v>
      </c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105">
        <f t="shared" si="3"/>
        <v>0</v>
      </c>
      <c r="AC23" s="105">
        <f t="shared" si="4"/>
        <v>0</v>
      </c>
      <c r="AD23" s="105">
        <f t="shared" si="5"/>
        <v>0</v>
      </c>
    </row>
    <row r="24" spans="1:30" ht="15" customHeight="1" x14ac:dyDescent="0.25">
      <c r="A24" s="96"/>
      <c r="B24" s="97"/>
      <c r="C24" s="97"/>
      <c r="D24" s="97"/>
      <c r="E24" s="105">
        <f>IFERROR(INDEX(Employees!$L:$L,SUMPRODUCT((Employees!$A$2:$A$102=C24)*(Employees!$C$2:$C$102=D24)*ROW(Employees!$A$2:$A$102))),"")</f>
        <v>0</v>
      </c>
      <c r="F24" s="97"/>
      <c r="G24" s="105">
        <f>IFERROR(INDEX(Employees!$M:$M,SUMPRODUCT((Employees!$A$2:$A$102=C24)*(Employees!$C$2:$C$102=D24)*ROW(Employees!$A$2:$A$102))),"")</f>
        <v>0</v>
      </c>
      <c r="H24" s="97"/>
      <c r="I24" s="105">
        <f>IFERROR(ROUND(G24*Settings!$C$5,4),"")</f>
        <v>0</v>
      </c>
      <c r="J24" s="105">
        <f t="shared" si="0"/>
        <v>0</v>
      </c>
      <c r="K24" s="97"/>
      <c r="L24" s="105">
        <f>IFERROR(ROUND(G24*Settings!$C$6,4),"")</f>
        <v>0</v>
      </c>
      <c r="M24" s="105">
        <f t="shared" si="1"/>
        <v>0</v>
      </c>
      <c r="N24" s="97"/>
      <c r="O24" s="97"/>
      <c r="P24" s="105">
        <f t="shared" si="2"/>
        <v>0</v>
      </c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105">
        <f t="shared" si="3"/>
        <v>0</v>
      </c>
      <c r="AC24" s="105">
        <f t="shared" si="4"/>
        <v>0</v>
      </c>
      <c r="AD24" s="105">
        <f t="shared" si="5"/>
        <v>0</v>
      </c>
    </row>
    <row r="25" spans="1:30" ht="15" customHeight="1" x14ac:dyDescent="0.25">
      <c r="A25" s="96"/>
      <c r="B25" s="97"/>
      <c r="C25" s="97"/>
      <c r="D25" s="97"/>
      <c r="E25" s="105">
        <f>IFERROR(INDEX(Employees!$L:$L,SUMPRODUCT((Employees!$A$2:$A$102=C25)*(Employees!$C$2:$C$102=D25)*ROW(Employees!$A$2:$A$102))),"")</f>
        <v>0</v>
      </c>
      <c r="F25" s="97"/>
      <c r="G25" s="105">
        <f>IFERROR(INDEX(Employees!$M:$M,SUMPRODUCT((Employees!$A$2:$A$102=C25)*(Employees!$C$2:$C$102=D25)*ROW(Employees!$A$2:$A$102))),"")</f>
        <v>0</v>
      </c>
      <c r="H25" s="97"/>
      <c r="I25" s="105">
        <f>IFERROR(ROUND(G25*Settings!$C$5,4),"")</f>
        <v>0</v>
      </c>
      <c r="J25" s="105">
        <f t="shared" si="0"/>
        <v>0</v>
      </c>
      <c r="K25" s="97"/>
      <c r="L25" s="105">
        <f>IFERROR(ROUND(G25*Settings!$C$6,4),"")</f>
        <v>0</v>
      </c>
      <c r="M25" s="105">
        <f t="shared" si="1"/>
        <v>0</v>
      </c>
      <c r="N25" s="97"/>
      <c r="O25" s="97"/>
      <c r="P25" s="105">
        <f t="shared" si="2"/>
        <v>0</v>
      </c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105">
        <f t="shared" si="3"/>
        <v>0</v>
      </c>
      <c r="AC25" s="105">
        <f t="shared" si="4"/>
        <v>0</v>
      </c>
      <c r="AD25" s="105">
        <f t="shared" si="5"/>
        <v>0</v>
      </c>
    </row>
    <row r="26" spans="1:30" ht="15" customHeight="1" x14ac:dyDescent="0.25">
      <c r="A26" s="96"/>
      <c r="B26" s="97"/>
      <c r="C26" s="97"/>
      <c r="D26" s="97"/>
      <c r="E26" s="105">
        <f>IFERROR(INDEX(Employees!$L:$L,SUMPRODUCT((Employees!$A$2:$A$102=C26)*(Employees!$C$2:$C$102=D26)*ROW(Employees!$A$2:$A$102))),"")</f>
        <v>0</v>
      </c>
      <c r="F26" s="97"/>
      <c r="G26" s="105">
        <f>IFERROR(INDEX(Employees!$M:$M,SUMPRODUCT((Employees!$A$2:$A$102=C26)*(Employees!$C$2:$C$102=D26)*ROW(Employees!$A$2:$A$102))),"")</f>
        <v>0</v>
      </c>
      <c r="H26" s="97"/>
      <c r="I26" s="105">
        <f>IFERROR(ROUND(G26*Settings!$C$5,4),"")</f>
        <v>0</v>
      </c>
      <c r="J26" s="105">
        <f t="shared" si="0"/>
        <v>0</v>
      </c>
      <c r="K26" s="97"/>
      <c r="L26" s="105">
        <f>IFERROR(ROUND(G26*Settings!$C$6,4),"")</f>
        <v>0</v>
      </c>
      <c r="M26" s="105">
        <f t="shared" si="1"/>
        <v>0</v>
      </c>
      <c r="N26" s="97"/>
      <c r="O26" s="97"/>
      <c r="P26" s="105">
        <f t="shared" si="2"/>
        <v>0</v>
      </c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105">
        <f t="shared" si="3"/>
        <v>0</v>
      </c>
      <c r="AC26" s="105">
        <f t="shared" si="4"/>
        <v>0</v>
      </c>
      <c r="AD26" s="105">
        <f t="shared" si="5"/>
        <v>0</v>
      </c>
    </row>
    <row r="27" spans="1:30" ht="15" customHeight="1" x14ac:dyDescent="0.25">
      <c r="A27" s="96"/>
      <c r="B27" s="97"/>
      <c r="C27" s="97"/>
      <c r="D27" s="97"/>
      <c r="E27" s="105">
        <f>IFERROR(INDEX(Employees!$L:$L,SUMPRODUCT((Employees!$A$2:$A$102=C27)*(Employees!$C$2:$C$102=D27)*ROW(Employees!$A$2:$A$102))),"")</f>
        <v>0</v>
      </c>
      <c r="F27" s="97"/>
      <c r="G27" s="105">
        <f>IFERROR(INDEX(Employees!$M:$M,SUMPRODUCT((Employees!$A$2:$A$102=C27)*(Employees!$C$2:$C$102=D27)*ROW(Employees!$A$2:$A$102))),"")</f>
        <v>0</v>
      </c>
      <c r="H27" s="97"/>
      <c r="I27" s="105">
        <f>IFERROR(ROUND(G27*Settings!$C$5,4),"")</f>
        <v>0</v>
      </c>
      <c r="J27" s="105">
        <f t="shared" si="0"/>
        <v>0</v>
      </c>
      <c r="K27" s="97"/>
      <c r="L27" s="105">
        <f>IFERROR(ROUND(G27*Settings!$C$6,4),"")</f>
        <v>0</v>
      </c>
      <c r="M27" s="105">
        <f t="shared" si="1"/>
        <v>0</v>
      </c>
      <c r="N27" s="97"/>
      <c r="O27" s="97"/>
      <c r="P27" s="105">
        <f t="shared" si="2"/>
        <v>0</v>
      </c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105">
        <f t="shared" si="3"/>
        <v>0</v>
      </c>
      <c r="AC27" s="105">
        <f t="shared" si="4"/>
        <v>0</v>
      </c>
      <c r="AD27" s="105">
        <f t="shared" si="5"/>
        <v>0</v>
      </c>
    </row>
    <row r="28" spans="1:30" ht="15" customHeight="1" x14ac:dyDescent="0.25">
      <c r="A28" s="96"/>
      <c r="B28" s="97"/>
      <c r="C28" s="97"/>
      <c r="D28" s="97"/>
      <c r="E28" s="105">
        <f>IFERROR(INDEX(Employees!$L:$L,SUMPRODUCT((Employees!$A$2:$A$102=C28)*(Employees!$C$2:$C$102=D28)*ROW(Employees!$A$2:$A$102))),"")</f>
        <v>0</v>
      </c>
      <c r="F28" s="97"/>
      <c r="G28" s="105">
        <f>IFERROR(INDEX(Employees!$M:$M,SUMPRODUCT((Employees!$A$2:$A$102=C28)*(Employees!$C$2:$C$102=D28)*ROW(Employees!$A$2:$A$102))),"")</f>
        <v>0</v>
      </c>
      <c r="H28" s="97"/>
      <c r="I28" s="105">
        <f>IFERROR(ROUND(G28*Settings!$C$5,4),"")</f>
        <v>0</v>
      </c>
      <c r="J28" s="105">
        <f t="shared" si="0"/>
        <v>0</v>
      </c>
      <c r="K28" s="97"/>
      <c r="L28" s="105">
        <f>IFERROR(ROUND(G28*Settings!$C$6,4),"")</f>
        <v>0</v>
      </c>
      <c r="M28" s="105">
        <f t="shared" si="1"/>
        <v>0</v>
      </c>
      <c r="N28" s="97"/>
      <c r="O28" s="97"/>
      <c r="P28" s="105">
        <f t="shared" si="2"/>
        <v>0</v>
      </c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105">
        <f t="shared" si="3"/>
        <v>0</v>
      </c>
      <c r="AC28" s="105">
        <f t="shared" si="4"/>
        <v>0</v>
      </c>
      <c r="AD28" s="105">
        <f t="shared" si="5"/>
        <v>0</v>
      </c>
    </row>
    <row r="29" spans="1:30" ht="15" customHeight="1" x14ac:dyDescent="0.25">
      <c r="A29" s="96"/>
      <c r="B29" s="97"/>
      <c r="C29" s="97"/>
      <c r="D29" s="97"/>
      <c r="E29" s="105">
        <f>IFERROR(INDEX(Employees!$L:$L,SUMPRODUCT((Employees!$A$2:$A$102=C29)*(Employees!$C$2:$C$102=D29)*ROW(Employees!$A$2:$A$102))),"")</f>
        <v>0</v>
      </c>
      <c r="F29" s="97"/>
      <c r="G29" s="105">
        <f>IFERROR(INDEX(Employees!$M:$M,SUMPRODUCT((Employees!$A$2:$A$102=C29)*(Employees!$C$2:$C$102=D29)*ROW(Employees!$A$2:$A$102))),"")</f>
        <v>0</v>
      </c>
      <c r="H29" s="97"/>
      <c r="I29" s="105">
        <f>IFERROR(ROUND(G29*Settings!$C$5,4),"")</f>
        <v>0</v>
      </c>
      <c r="J29" s="105">
        <f t="shared" si="0"/>
        <v>0</v>
      </c>
      <c r="K29" s="97"/>
      <c r="L29" s="105">
        <f>IFERROR(ROUND(G29*Settings!$C$6,4),"")</f>
        <v>0</v>
      </c>
      <c r="M29" s="105">
        <f t="shared" si="1"/>
        <v>0</v>
      </c>
      <c r="N29" s="97"/>
      <c r="O29" s="97"/>
      <c r="P29" s="105">
        <f t="shared" si="2"/>
        <v>0</v>
      </c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105">
        <f t="shared" si="3"/>
        <v>0</v>
      </c>
      <c r="AC29" s="105">
        <f t="shared" si="4"/>
        <v>0</v>
      </c>
      <c r="AD29" s="105">
        <f t="shared" si="5"/>
        <v>0</v>
      </c>
    </row>
    <row r="30" spans="1:30" ht="15" customHeight="1" x14ac:dyDescent="0.25">
      <c r="A30" s="96"/>
      <c r="B30" s="97"/>
      <c r="C30" s="97"/>
      <c r="D30" s="97"/>
      <c r="E30" s="105">
        <f>IFERROR(INDEX(Employees!$L:$L,SUMPRODUCT((Employees!$A$2:$A$102=C30)*(Employees!$C$2:$C$102=D30)*ROW(Employees!$A$2:$A$102))),"")</f>
        <v>0</v>
      </c>
      <c r="F30" s="97"/>
      <c r="G30" s="105">
        <f>IFERROR(INDEX(Employees!$M:$M,SUMPRODUCT((Employees!$A$2:$A$102=C30)*(Employees!$C$2:$C$102=D30)*ROW(Employees!$A$2:$A$102))),"")</f>
        <v>0</v>
      </c>
      <c r="H30" s="97"/>
      <c r="I30" s="105">
        <f>IFERROR(ROUND(G30*Settings!$C$5,4),"")</f>
        <v>0</v>
      </c>
      <c r="J30" s="105">
        <f t="shared" si="0"/>
        <v>0</v>
      </c>
      <c r="K30" s="97"/>
      <c r="L30" s="105">
        <f>IFERROR(ROUND(G30*Settings!$C$6,4),"")</f>
        <v>0</v>
      </c>
      <c r="M30" s="105">
        <f t="shared" si="1"/>
        <v>0</v>
      </c>
      <c r="N30" s="97"/>
      <c r="O30" s="97"/>
      <c r="P30" s="105">
        <f t="shared" si="2"/>
        <v>0</v>
      </c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105">
        <f t="shared" si="3"/>
        <v>0</v>
      </c>
      <c r="AC30" s="105">
        <f t="shared" si="4"/>
        <v>0</v>
      </c>
      <c r="AD30" s="105">
        <f t="shared" si="5"/>
        <v>0</v>
      </c>
    </row>
    <row r="31" spans="1:30" ht="15" customHeight="1" x14ac:dyDescent="0.25">
      <c r="A31" s="96"/>
      <c r="B31" s="97"/>
      <c r="C31" s="97"/>
      <c r="D31" s="97"/>
      <c r="E31" s="105">
        <f>IFERROR(INDEX(Employees!$L:$L,SUMPRODUCT((Employees!$A$2:$A$102=C31)*(Employees!$C$2:$C$102=D31)*ROW(Employees!$A$2:$A$102))),"")</f>
        <v>0</v>
      </c>
      <c r="F31" s="97"/>
      <c r="G31" s="105">
        <f>IFERROR(INDEX(Employees!$M:$M,SUMPRODUCT((Employees!$A$2:$A$102=C31)*(Employees!$C$2:$C$102=D31)*ROW(Employees!$A$2:$A$102))),"")</f>
        <v>0</v>
      </c>
      <c r="H31" s="97"/>
      <c r="I31" s="105">
        <f>IFERROR(ROUND(G31*Settings!$C$5,4),"")</f>
        <v>0</v>
      </c>
      <c r="J31" s="105">
        <f t="shared" si="0"/>
        <v>0</v>
      </c>
      <c r="K31" s="97"/>
      <c r="L31" s="105">
        <f>IFERROR(ROUND(G31*Settings!$C$6,4),"")</f>
        <v>0</v>
      </c>
      <c r="M31" s="105">
        <f t="shared" si="1"/>
        <v>0</v>
      </c>
      <c r="N31" s="97"/>
      <c r="O31" s="97"/>
      <c r="P31" s="105">
        <f t="shared" si="2"/>
        <v>0</v>
      </c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105">
        <f t="shared" si="3"/>
        <v>0</v>
      </c>
      <c r="AC31" s="105">
        <f t="shared" si="4"/>
        <v>0</v>
      </c>
      <c r="AD31" s="105">
        <f t="shared" si="5"/>
        <v>0</v>
      </c>
    </row>
    <row r="32" spans="1:30" ht="15" customHeight="1" x14ac:dyDescent="0.25">
      <c r="A32" s="96"/>
      <c r="B32" s="97"/>
      <c r="C32" s="97"/>
      <c r="D32" s="97"/>
      <c r="E32" s="105">
        <f>IFERROR(INDEX(Employees!$L:$L,SUMPRODUCT((Employees!$A$2:$A$102=C32)*(Employees!$C$2:$C$102=D32)*ROW(Employees!$A$2:$A$102))),"")</f>
        <v>0</v>
      </c>
      <c r="F32" s="97"/>
      <c r="G32" s="105">
        <f>IFERROR(INDEX(Employees!$M:$M,SUMPRODUCT((Employees!$A$2:$A$102=C32)*(Employees!$C$2:$C$102=D32)*ROW(Employees!$A$2:$A$102))),"")</f>
        <v>0</v>
      </c>
      <c r="H32" s="97"/>
      <c r="I32" s="105">
        <f>IFERROR(ROUND(G32*Settings!$C$5,4),"")</f>
        <v>0</v>
      </c>
      <c r="J32" s="105">
        <f t="shared" si="0"/>
        <v>0</v>
      </c>
      <c r="K32" s="97"/>
      <c r="L32" s="105">
        <f>IFERROR(ROUND(G32*Settings!$C$6,4),"")</f>
        <v>0</v>
      </c>
      <c r="M32" s="105">
        <f t="shared" si="1"/>
        <v>0</v>
      </c>
      <c r="N32" s="97"/>
      <c r="O32" s="97"/>
      <c r="P32" s="105">
        <f t="shared" si="2"/>
        <v>0</v>
      </c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105">
        <f t="shared" si="3"/>
        <v>0</v>
      </c>
      <c r="AC32" s="105">
        <f t="shared" si="4"/>
        <v>0</v>
      </c>
      <c r="AD32" s="105">
        <f t="shared" si="5"/>
        <v>0</v>
      </c>
    </row>
    <row r="33" spans="1:30" ht="15" customHeight="1" x14ac:dyDescent="0.25">
      <c r="A33" s="96"/>
      <c r="B33" s="97"/>
      <c r="C33" s="97"/>
      <c r="D33" s="97"/>
      <c r="E33" s="105">
        <f>IFERROR(INDEX(Employees!$L:$L,SUMPRODUCT((Employees!$A$2:$A$102=C33)*(Employees!$C$2:$C$102=D33)*ROW(Employees!$A$2:$A$102))),"")</f>
        <v>0</v>
      </c>
      <c r="F33" s="97"/>
      <c r="G33" s="105">
        <f>IFERROR(INDEX(Employees!$M:$M,SUMPRODUCT((Employees!$A$2:$A$102=C33)*(Employees!$C$2:$C$102=D33)*ROW(Employees!$A$2:$A$102))),"")</f>
        <v>0</v>
      </c>
      <c r="H33" s="97"/>
      <c r="I33" s="105">
        <f>IFERROR(ROUND(G33*Settings!$C$5,4),"")</f>
        <v>0</v>
      </c>
      <c r="J33" s="105">
        <f t="shared" si="0"/>
        <v>0</v>
      </c>
      <c r="K33" s="97"/>
      <c r="L33" s="105">
        <f>IFERROR(ROUND(G33*Settings!$C$6,4),"")</f>
        <v>0</v>
      </c>
      <c r="M33" s="105">
        <f t="shared" si="1"/>
        <v>0</v>
      </c>
      <c r="N33" s="97"/>
      <c r="O33" s="97"/>
      <c r="P33" s="105">
        <f t="shared" si="2"/>
        <v>0</v>
      </c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105">
        <f t="shared" si="3"/>
        <v>0</v>
      </c>
      <c r="AC33" s="105">
        <f t="shared" si="4"/>
        <v>0</v>
      </c>
      <c r="AD33" s="105">
        <f t="shared" si="5"/>
        <v>0</v>
      </c>
    </row>
    <row r="34" spans="1:30" ht="15" customHeight="1" x14ac:dyDescent="0.25">
      <c r="A34" s="96"/>
      <c r="B34" s="97"/>
      <c r="C34" s="97"/>
      <c r="D34" s="97"/>
      <c r="E34" s="105">
        <f>IFERROR(INDEX(Employees!$L:$L,SUMPRODUCT((Employees!$A$2:$A$102=C34)*(Employees!$C$2:$C$102=D34)*ROW(Employees!$A$2:$A$102))),"")</f>
        <v>0</v>
      </c>
      <c r="F34" s="97"/>
      <c r="G34" s="105">
        <f>IFERROR(INDEX(Employees!$M:$M,SUMPRODUCT((Employees!$A$2:$A$102=C34)*(Employees!$C$2:$C$102=D34)*ROW(Employees!$A$2:$A$102))),"")</f>
        <v>0</v>
      </c>
      <c r="H34" s="97"/>
      <c r="I34" s="105">
        <f>IFERROR(ROUND(G34*Settings!$C$5,4),"")</f>
        <v>0</v>
      </c>
      <c r="J34" s="105">
        <f t="shared" ref="J34:J65" si="6">IFERROR(ROUND(H34*I34,2),"")</f>
        <v>0</v>
      </c>
      <c r="K34" s="97"/>
      <c r="L34" s="105">
        <f>IFERROR(ROUND(G34*Settings!$C$6,4),"")</f>
        <v>0</v>
      </c>
      <c r="M34" s="105">
        <f t="shared" ref="M34:M65" si="7">IFERROR(ROUND(K34*L34,2),0)</f>
        <v>0</v>
      </c>
      <c r="N34" s="97"/>
      <c r="O34" s="97"/>
      <c r="P34" s="105">
        <f t="shared" ref="P34:P65" si="8">IFERROR(ROUND(N34*O34,2),"")</f>
        <v>0</v>
      </c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105">
        <f t="shared" ref="AB34:AB65" si="9">SUM(E34,J34,M34,P34,Q34,R34,S34,T34)</f>
        <v>0</v>
      </c>
      <c r="AC34" s="105">
        <f t="shared" ref="AC34:AC65" si="10">SUM(U34,V34,W34,X34,Y34,Z34,AA34)</f>
        <v>0</v>
      </c>
      <c r="AD34" s="105">
        <f t="shared" ref="AD34:AD65" si="11">AB34-AC34</f>
        <v>0</v>
      </c>
    </row>
    <row r="35" spans="1:30" ht="15" customHeight="1" x14ac:dyDescent="0.25">
      <c r="A35" s="96"/>
      <c r="B35" s="97"/>
      <c r="C35" s="97"/>
      <c r="D35" s="97"/>
      <c r="E35" s="105">
        <f>IFERROR(INDEX(Employees!$L:$L,SUMPRODUCT((Employees!$A$2:$A$102=C35)*(Employees!$C$2:$C$102=D35)*ROW(Employees!$A$2:$A$102))),"")</f>
        <v>0</v>
      </c>
      <c r="F35" s="97"/>
      <c r="G35" s="105">
        <f>IFERROR(INDEX(Employees!$M:$M,SUMPRODUCT((Employees!$A$2:$A$102=C35)*(Employees!$C$2:$C$102=D35)*ROW(Employees!$A$2:$A$102))),"")</f>
        <v>0</v>
      </c>
      <c r="H35" s="97"/>
      <c r="I35" s="105">
        <f>IFERROR(ROUND(G35*Settings!$C$5,4),"")</f>
        <v>0</v>
      </c>
      <c r="J35" s="105">
        <f t="shared" si="6"/>
        <v>0</v>
      </c>
      <c r="K35" s="97"/>
      <c r="L35" s="105">
        <f>IFERROR(ROUND(G35*Settings!$C$6,4),"")</f>
        <v>0</v>
      </c>
      <c r="M35" s="105">
        <f t="shared" si="7"/>
        <v>0</v>
      </c>
      <c r="N35" s="97"/>
      <c r="O35" s="97"/>
      <c r="P35" s="105">
        <f t="shared" si="8"/>
        <v>0</v>
      </c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105">
        <f t="shared" si="9"/>
        <v>0</v>
      </c>
      <c r="AC35" s="105">
        <f t="shared" si="10"/>
        <v>0</v>
      </c>
      <c r="AD35" s="105">
        <f t="shared" si="11"/>
        <v>0</v>
      </c>
    </row>
    <row r="36" spans="1:30" ht="15" customHeight="1" x14ac:dyDescent="0.25">
      <c r="A36" s="96"/>
      <c r="B36" s="97"/>
      <c r="C36" s="97"/>
      <c r="D36" s="97"/>
      <c r="E36" s="105">
        <f>IFERROR(INDEX(Employees!$L:$L,SUMPRODUCT((Employees!$A$2:$A$102=C36)*(Employees!$C$2:$C$102=D36)*ROW(Employees!$A$2:$A$102))),"")</f>
        <v>0</v>
      </c>
      <c r="F36" s="97"/>
      <c r="G36" s="105">
        <f>IFERROR(INDEX(Employees!$M:$M,SUMPRODUCT((Employees!$A$2:$A$102=C36)*(Employees!$C$2:$C$102=D36)*ROW(Employees!$A$2:$A$102))),"")</f>
        <v>0</v>
      </c>
      <c r="H36" s="97"/>
      <c r="I36" s="105">
        <f>IFERROR(ROUND(G36*Settings!$C$5,4),"")</f>
        <v>0</v>
      </c>
      <c r="J36" s="105">
        <f t="shared" si="6"/>
        <v>0</v>
      </c>
      <c r="K36" s="97"/>
      <c r="L36" s="105">
        <f>IFERROR(ROUND(G36*Settings!$C$6,4),"")</f>
        <v>0</v>
      </c>
      <c r="M36" s="105">
        <f t="shared" si="7"/>
        <v>0</v>
      </c>
      <c r="N36" s="97"/>
      <c r="O36" s="97"/>
      <c r="P36" s="105">
        <f t="shared" si="8"/>
        <v>0</v>
      </c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105">
        <f t="shared" si="9"/>
        <v>0</v>
      </c>
      <c r="AC36" s="105">
        <f t="shared" si="10"/>
        <v>0</v>
      </c>
      <c r="AD36" s="105">
        <f t="shared" si="11"/>
        <v>0</v>
      </c>
    </row>
    <row r="37" spans="1:30" ht="15" customHeight="1" x14ac:dyDescent="0.25">
      <c r="A37" s="96"/>
      <c r="B37" s="97"/>
      <c r="C37" s="97"/>
      <c r="D37" s="97"/>
      <c r="E37" s="105">
        <f>IFERROR(INDEX(Employees!$L:$L,SUMPRODUCT((Employees!$A$2:$A$102=C37)*(Employees!$C$2:$C$102=D37)*ROW(Employees!$A$2:$A$102))),"")</f>
        <v>0</v>
      </c>
      <c r="F37" s="97"/>
      <c r="G37" s="105">
        <f>IFERROR(INDEX(Employees!$M:$M,SUMPRODUCT((Employees!$A$2:$A$102=C37)*(Employees!$C$2:$C$102=D37)*ROW(Employees!$A$2:$A$102))),"")</f>
        <v>0</v>
      </c>
      <c r="H37" s="97"/>
      <c r="I37" s="105">
        <f>IFERROR(ROUND(G37*Settings!$C$5,4),"")</f>
        <v>0</v>
      </c>
      <c r="J37" s="105">
        <f t="shared" si="6"/>
        <v>0</v>
      </c>
      <c r="K37" s="97"/>
      <c r="L37" s="105">
        <f>IFERROR(ROUND(G37*Settings!$C$6,4),"")</f>
        <v>0</v>
      </c>
      <c r="M37" s="105">
        <f t="shared" si="7"/>
        <v>0</v>
      </c>
      <c r="N37" s="97"/>
      <c r="O37" s="97"/>
      <c r="P37" s="105">
        <f t="shared" si="8"/>
        <v>0</v>
      </c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105">
        <f t="shared" si="9"/>
        <v>0</v>
      </c>
      <c r="AC37" s="105">
        <f t="shared" si="10"/>
        <v>0</v>
      </c>
      <c r="AD37" s="105">
        <f t="shared" si="11"/>
        <v>0</v>
      </c>
    </row>
    <row r="38" spans="1:30" ht="15" customHeight="1" x14ac:dyDescent="0.25">
      <c r="A38" s="96"/>
      <c r="B38" s="97"/>
      <c r="C38" s="97"/>
      <c r="D38" s="97"/>
      <c r="E38" s="105">
        <f>IFERROR(INDEX(Employees!$L:$L,SUMPRODUCT((Employees!$A$2:$A$102=C38)*(Employees!$C$2:$C$102=D38)*ROW(Employees!$A$2:$A$102))),"")</f>
        <v>0</v>
      </c>
      <c r="F38" s="97"/>
      <c r="G38" s="105">
        <f>IFERROR(INDEX(Employees!$M:$M,SUMPRODUCT((Employees!$A$2:$A$102=C38)*(Employees!$C$2:$C$102=D38)*ROW(Employees!$A$2:$A$102))),"")</f>
        <v>0</v>
      </c>
      <c r="H38" s="97"/>
      <c r="I38" s="105">
        <f>IFERROR(ROUND(G38*Settings!$C$5,4),"")</f>
        <v>0</v>
      </c>
      <c r="J38" s="105">
        <f t="shared" si="6"/>
        <v>0</v>
      </c>
      <c r="K38" s="97"/>
      <c r="L38" s="105">
        <f>IFERROR(ROUND(G38*Settings!$C$6,4),"")</f>
        <v>0</v>
      </c>
      <c r="M38" s="105">
        <f t="shared" si="7"/>
        <v>0</v>
      </c>
      <c r="N38" s="97"/>
      <c r="O38" s="97"/>
      <c r="P38" s="105">
        <f t="shared" si="8"/>
        <v>0</v>
      </c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105">
        <f t="shared" si="9"/>
        <v>0</v>
      </c>
      <c r="AC38" s="105">
        <f t="shared" si="10"/>
        <v>0</v>
      </c>
      <c r="AD38" s="105">
        <f t="shared" si="11"/>
        <v>0</v>
      </c>
    </row>
    <row r="39" spans="1:30" ht="15" customHeight="1" x14ac:dyDescent="0.25">
      <c r="A39" s="96"/>
      <c r="B39" s="97"/>
      <c r="C39" s="97"/>
      <c r="D39" s="97"/>
      <c r="E39" s="105">
        <f>IFERROR(INDEX(Employees!$L:$L,SUMPRODUCT((Employees!$A$2:$A$102=C39)*(Employees!$C$2:$C$102=D39)*ROW(Employees!$A$2:$A$102))),"")</f>
        <v>0</v>
      </c>
      <c r="F39" s="97"/>
      <c r="G39" s="105">
        <f>IFERROR(INDEX(Employees!$M:$M,SUMPRODUCT((Employees!$A$2:$A$102=C39)*(Employees!$C$2:$C$102=D39)*ROW(Employees!$A$2:$A$102))),"")</f>
        <v>0</v>
      </c>
      <c r="H39" s="97"/>
      <c r="I39" s="105">
        <f>IFERROR(ROUND(G39*Settings!$C$5,4),"")</f>
        <v>0</v>
      </c>
      <c r="J39" s="105">
        <f t="shared" si="6"/>
        <v>0</v>
      </c>
      <c r="K39" s="97"/>
      <c r="L39" s="105">
        <f>IFERROR(ROUND(G39*Settings!$C$6,4),"")</f>
        <v>0</v>
      </c>
      <c r="M39" s="105">
        <f t="shared" si="7"/>
        <v>0</v>
      </c>
      <c r="N39" s="97"/>
      <c r="O39" s="97"/>
      <c r="P39" s="105">
        <f t="shared" si="8"/>
        <v>0</v>
      </c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105">
        <f t="shared" si="9"/>
        <v>0</v>
      </c>
      <c r="AC39" s="105">
        <f t="shared" si="10"/>
        <v>0</v>
      </c>
      <c r="AD39" s="105">
        <f t="shared" si="11"/>
        <v>0</v>
      </c>
    </row>
    <row r="40" spans="1:30" ht="15" customHeight="1" x14ac:dyDescent="0.25">
      <c r="A40" s="96"/>
      <c r="B40" s="97"/>
      <c r="C40" s="97"/>
      <c r="D40" s="97"/>
      <c r="E40" s="105">
        <f>IFERROR(INDEX(Employees!$L:$L,SUMPRODUCT((Employees!$A$2:$A$102=C40)*(Employees!$C$2:$C$102=D40)*ROW(Employees!$A$2:$A$102))),"")</f>
        <v>0</v>
      </c>
      <c r="F40" s="97"/>
      <c r="G40" s="105">
        <f>IFERROR(INDEX(Employees!$M:$M,SUMPRODUCT((Employees!$A$2:$A$102=C40)*(Employees!$C$2:$C$102=D40)*ROW(Employees!$A$2:$A$102))),"")</f>
        <v>0</v>
      </c>
      <c r="H40" s="97"/>
      <c r="I40" s="105">
        <f>IFERROR(ROUND(G40*Settings!$C$5,4),"")</f>
        <v>0</v>
      </c>
      <c r="J40" s="105">
        <f t="shared" si="6"/>
        <v>0</v>
      </c>
      <c r="K40" s="97"/>
      <c r="L40" s="105">
        <f>IFERROR(ROUND(G40*Settings!$C$6,4),"")</f>
        <v>0</v>
      </c>
      <c r="M40" s="105">
        <f t="shared" si="7"/>
        <v>0</v>
      </c>
      <c r="N40" s="97"/>
      <c r="O40" s="97"/>
      <c r="P40" s="105">
        <f t="shared" si="8"/>
        <v>0</v>
      </c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105">
        <f t="shared" si="9"/>
        <v>0</v>
      </c>
      <c r="AC40" s="105">
        <f t="shared" si="10"/>
        <v>0</v>
      </c>
      <c r="AD40" s="105">
        <f t="shared" si="11"/>
        <v>0</v>
      </c>
    </row>
    <row r="41" spans="1:30" ht="15" customHeight="1" x14ac:dyDescent="0.25">
      <c r="A41" s="96"/>
      <c r="B41" s="97"/>
      <c r="C41" s="97"/>
      <c r="D41" s="97"/>
      <c r="E41" s="105">
        <f>IFERROR(INDEX(Employees!$L:$L,SUMPRODUCT((Employees!$A$2:$A$102=C41)*(Employees!$C$2:$C$102=D41)*ROW(Employees!$A$2:$A$102))),"")</f>
        <v>0</v>
      </c>
      <c r="F41" s="97"/>
      <c r="G41" s="105">
        <f>IFERROR(INDEX(Employees!$M:$M,SUMPRODUCT((Employees!$A$2:$A$102=C41)*(Employees!$C$2:$C$102=D41)*ROW(Employees!$A$2:$A$102))),"")</f>
        <v>0</v>
      </c>
      <c r="H41" s="97"/>
      <c r="I41" s="105">
        <f>IFERROR(ROUND(G41*Settings!$C$5,4),"")</f>
        <v>0</v>
      </c>
      <c r="J41" s="105">
        <f t="shared" si="6"/>
        <v>0</v>
      </c>
      <c r="K41" s="97"/>
      <c r="L41" s="105">
        <f>IFERROR(ROUND(G41*Settings!$C$6,4),"")</f>
        <v>0</v>
      </c>
      <c r="M41" s="105">
        <f t="shared" si="7"/>
        <v>0</v>
      </c>
      <c r="N41" s="97"/>
      <c r="O41" s="97"/>
      <c r="P41" s="105">
        <f t="shared" si="8"/>
        <v>0</v>
      </c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105">
        <f t="shared" si="9"/>
        <v>0</v>
      </c>
      <c r="AC41" s="105">
        <f t="shared" si="10"/>
        <v>0</v>
      </c>
      <c r="AD41" s="105">
        <f t="shared" si="11"/>
        <v>0</v>
      </c>
    </row>
    <row r="42" spans="1:30" ht="15" customHeight="1" x14ac:dyDescent="0.25">
      <c r="A42" s="96"/>
      <c r="B42" s="97"/>
      <c r="C42" s="97"/>
      <c r="D42" s="97"/>
      <c r="E42" s="105">
        <f>IFERROR(INDEX(Employees!$L:$L,SUMPRODUCT((Employees!$A$2:$A$102=C42)*(Employees!$C$2:$C$102=D42)*ROW(Employees!$A$2:$A$102))),"")</f>
        <v>0</v>
      </c>
      <c r="F42" s="97"/>
      <c r="G42" s="105">
        <f>IFERROR(INDEX(Employees!$M:$M,SUMPRODUCT((Employees!$A$2:$A$102=C42)*(Employees!$C$2:$C$102=D42)*ROW(Employees!$A$2:$A$102))),"")</f>
        <v>0</v>
      </c>
      <c r="H42" s="97"/>
      <c r="I42" s="105">
        <f>IFERROR(ROUND(G42*Settings!$C$5,4),"")</f>
        <v>0</v>
      </c>
      <c r="J42" s="105">
        <f t="shared" si="6"/>
        <v>0</v>
      </c>
      <c r="K42" s="97"/>
      <c r="L42" s="105">
        <f>IFERROR(ROUND(G42*Settings!$C$6,4),"")</f>
        <v>0</v>
      </c>
      <c r="M42" s="105">
        <f t="shared" si="7"/>
        <v>0</v>
      </c>
      <c r="N42" s="97"/>
      <c r="O42" s="97"/>
      <c r="P42" s="105">
        <f t="shared" si="8"/>
        <v>0</v>
      </c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105">
        <f t="shared" si="9"/>
        <v>0</v>
      </c>
      <c r="AC42" s="105">
        <f t="shared" si="10"/>
        <v>0</v>
      </c>
      <c r="AD42" s="105">
        <f t="shared" si="11"/>
        <v>0</v>
      </c>
    </row>
    <row r="43" spans="1:30" ht="15" customHeight="1" x14ac:dyDescent="0.25">
      <c r="A43" s="96"/>
      <c r="B43" s="97"/>
      <c r="C43" s="97"/>
      <c r="D43" s="97"/>
      <c r="E43" s="105">
        <f>IFERROR(INDEX(Employees!$L:$L,SUMPRODUCT((Employees!$A$2:$A$102=C43)*(Employees!$C$2:$C$102=D43)*ROW(Employees!$A$2:$A$102))),"")</f>
        <v>0</v>
      </c>
      <c r="F43" s="97"/>
      <c r="G43" s="105">
        <f>IFERROR(INDEX(Employees!$M:$M,SUMPRODUCT((Employees!$A$2:$A$102=C43)*(Employees!$C$2:$C$102=D43)*ROW(Employees!$A$2:$A$102))),"")</f>
        <v>0</v>
      </c>
      <c r="H43" s="97"/>
      <c r="I43" s="105">
        <f>IFERROR(ROUND(G43*Settings!$C$5,4),"")</f>
        <v>0</v>
      </c>
      <c r="J43" s="105">
        <f t="shared" si="6"/>
        <v>0</v>
      </c>
      <c r="K43" s="97"/>
      <c r="L43" s="105">
        <f>IFERROR(ROUND(G43*Settings!$C$6,4),"")</f>
        <v>0</v>
      </c>
      <c r="M43" s="105">
        <f t="shared" si="7"/>
        <v>0</v>
      </c>
      <c r="N43" s="97"/>
      <c r="O43" s="97"/>
      <c r="P43" s="105">
        <f t="shared" si="8"/>
        <v>0</v>
      </c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105">
        <f t="shared" si="9"/>
        <v>0</v>
      </c>
      <c r="AC43" s="105">
        <f t="shared" si="10"/>
        <v>0</v>
      </c>
      <c r="AD43" s="105">
        <f t="shared" si="11"/>
        <v>0</v>
      </c>
    </row>
    <row r="44" spans="1:30" ht="15" customHeight="1" x14ac:dyDescent="0.25">
      <c r="A44" s="96"/>
      <c r="B44" s="97"/>
      <c r="C44" s="97"/>
      <c r="D44" s="97"/>
      <c r="E44" s="105">
        <f>IFERROR(INDEX(Employees!$L:$L,SUMPRODUCT((Employees!$A$2:$A$102=C44)*(Employees!$C$2:$C$102=D44)*ROW(Employees!$A$2:$A$102))),"")</f>
        <v>0</v>
      </c>
      <c r="F44" s="97"/>
      <c r="G44" s="105">
        <f>IFERROR(INDEX(Employees!$M:$M,SUMPRODUCT((Employees!$A$2:$A$102=C44)*(Employees!$C$2:$C$102=D44)*ROW(Employees!$A$2:$A$102))),"")</f>
        <v>0</v>
      </c>
      <c r="H44" s="97"/>
      <c r="I44" s="105">
        <f>IFERROR(ROUND(G44*Settings!$C$5,4),"")</f>
        <v>0</v>
      </c>
      <c r="J44" s="105">
        <f t="shared" si="6"/>
        <v>0</v>
      </c>
      <c r="K44" s="97"/>
      <c r="L44" s="105">
        <f>IFERROR(ROUND(G44*Settings!$C$6,4),"")</f>
        <v>0</v>
      </c>
      <c r="M44" s="105">
        <f t="shared" si="7"/>
        <v>0</v>
      </c>
      <c r="N44" s="97"/>
      <c r="O44" s="97"/>
      <c r="P44" s="105">
        <f t="shared" si="8"/>
        <v>0</v>
      </c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  <c r="AB44" s="105">
        <f t="shared" si="9"/>
        <v>0</v>
      </c>
      <c r="AC44" s="105">
        <f t="shared" si="10"/>
        <v>0</v>
      </c>
      <c r="AD44" s="105">
        <f t="shared" si="11"/>
        <v>0</v>
      </c>
    </row>
    <row r="45" spans="1:30" ht="15" customHeight="1" x14ac:dyDescent="0.25">
      <c r="A45" s="96"/>
      <c r="B45" s="97"/>
      <c r="C45" s="97"/>
      <c r="D45" s="97"/>
      <c r="E45" s="105">
        <f>IFERROR(INDEX(Employees!$L:$L,SUMPRODUCT((Employees!$A$2:$A$102=C45)*(Employees!$C$2:$C$102=D45)*ROW(Employees!$A$2:$A$102))),"")</f>
        <v>0</v>
      </c>
      <c r="F45" s="97"/>
      <c r="G45" s="105">
        <f>IFERROR(INDEX(Employees!$M:$M,SUMPRODUCT((Employees!$A$2:$A$102=C45)*(Employees!$C$2:$C$102=D45)*ROW(Employees!$A$2:$A$102))),"")</f>
        <v>0</v>
      </c>
      <c r="H45" s="97"/>
      <c r="I45" s="105">
        <f>IFERROR(ROUND(G45*Settings!$C$5,4),"")</f>
        <v>0</v>
      </c>
      <c r="J45" s="105">
        <f t="shared" si="6"/>
        <v>0</v>
      </c>
      <c r="K45" s="97"/>
      <c r="L45" s="105">
        <f>IFERROR(ROUND(G45*Settings!$C$6,4),"")</f>
        <v>0</v>
      </c>
      <c r="M45" s="105">
        <f t="shared" si="7"/>
        <v>0</v>
      </c>
      <c r="N45" s="97"/>
      <c r="O45" s="97"/>
      <c r="P45" s="105">
        <f t="shared" si="8"/>
        <v>0</v>
      </c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105">
        <f t="shared" si="9"/>
        <v>0</v>
      </c>
      <c r="AC45" s="105">
        <f t="shared" si="10"/>
        <v>0</v>
      </c>
      <c r="AD45" s="105">
        <f t="shared" si="11"/>
        <v>0</v>
      </c>
    </row>
    <row r="46" spans="1:30" ht="15" customHeight="1" x14ac:dyDescent="0.25">
      <c r="A46" s="96"/>
      <c r="B46" s="97"/>
      <c r="C46" s="97"/>
      <c r="D46" s="97"/>
      <c r="E46" s="105">
        <f>IFERROR(INDEX(Employees!$L:$L,SUMPRODUCT((Employees!$A$2:$A$102=C46)*(Employees!$C$2:$C$102=D46)*ROW(Employees!$A$2:$A$102))),"")</f>
        <v>0</v>
      </c>
      <c r="F46" s="97"/>
      <c r="G46" s="105">
        <f>IFERROR(INDEX(Employees!$M:$M,SUMPRODUCT((Employees!$A$2:$A$102=C46)*(Employees!$C$2:$C$102=D46)*ROW(Employees!$A$2:$A$102))),"")</f>
        <v>0</v>
      </c>
      <c r="H46" s="97"/>
      <c r="I46" s="105">
        <f>IFERROR(ROUND(G46*Settings!$C$5,4),"")</f>
        <v>0</v>
      </c>
      <c r="J46" s="105">
        <f t="shared" si="6"/>
        <v>0</v>
      </c>
      <c r="K46" s="97"/>
      <c r="L46" s="105">
        <f>IFERROR(ROUND(G46*Settings!$C$6,4),"")</f>
        <v>0</v>
      </c>
      <c r="M46" s="105">
        <f t="shared" si="7"/>
        <v>0</v>
      </c>
      <c r="N46" s="97"/>
      <c r="O46" s="97"/>
      <c r="P46" s="105">
        <f t="shared" si="8"/>
        <v>0</v>
      </c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105">
        <f t="shared" si="9"/>
        <v>0</v>
      </c>
      <c r="AC46" s="105">
        <f t="shared" si="10"/>
        <v>0</v>
      </c>
      <c r="AD46" s="105">
        <f t="shared" si="11"/>
        <v>0</v>
      </c>
    </row>
    <row r="47" spans="1:30" ht="15" customHeight="1" x14ac:dyDescent="0.25">
      <c r="A47" s="96"/>
      <c r="B47" s="97"/>
      <c r="C47" s="97"/>
      <c r="D47" s="97"/>
      <c r="E47" s="105">
        <f>IFERROR(INDEX(Employees!$L:$L,SUMPRODUCT((Employees!$A$2:$A$102=C47)*(Employees!$C$2:$C$102=D47)*ROW(Employees!$A$2:$A$102))),"")</f>
        <v>0</v>
      </c>
      <c r="F47" s="97"/>
      <c r="G47" s="105">
        <f>IFERROR(INDEX(Employees!$M:$M,SUMPRODUCT((Employees!$A$2:$A$102=C47)*(Employees!$C$2:$C$102=D47)*ROW(Employees!$A$2:$A$102))),"")</f>
        <v>0</v>
      </c>
      <c r="H47" s="97"/>
      <c r="I47" s="105">
        <f>IFERROR(ROUND(G47*Settings!$C$5,4),"")</f>
        <v>0</v>
      </c>
      <c r="J47" s="105">
        <f t="shared" si="6"/>
        <v>0</v>
      </c>
      <c r="K47" s="97"/>
      <c r="L47" s="105">
        <f>IFERROR(ROUND(G47*Settings!$C$6,4),"")</f>
        <v>0</v>
      </c>
      <c r="M47" s="105">
        <f t="shared" si="7"/>
        <v>0</v>
      </c>
      <c r="N47" s="97"/>
      <c r="O47" s="97"/>
      <c r="P47" s="105">
        <f t="shared" si="8"/>
        <v>0</v>
      </c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105">
        <f t="shared" si="9"/>
        <v>0</v>
      </c>
      <c r="AC47" s="105">
        <f t="shared" si="10"/>
        <v>0</v>
      </c>
      <c r="AD47" s="105">
        <f t="shared" si="11"/>
        <v>0</v>
      </c>
    </row>
    <row r="48" spans="1:30" ht="15" customHeight="1" x14ac:dyDescent="0.25">
      <c r="A48" s="96"/>
      <c r="B48" s="97"/>
      <c r="C48" s="97"/>
      <c r="D48" s="97"/>
      <c r="E48" s="105">
        <f>IFERROR(INDEX(Employees!$L:$L,SUMPRODUCT((Employees!$A$2:$A$102=C48)*(Employees!$C$2:$C$102=D48)*ROW(Employees!$A$2:$A$102))),"")</f>
        <v>0</v>
      </c>
      <c r="F48" s="97"/>
      <c r="G48" s="105">
        <f>IFERROR(INDEX(Employees!$M:$M,SUMPRODUCT((Employees!$A$2:$A$102=C48)*(Employees!$C$2:$C$102=D48)*ROW(Employees!$A$2:$A$102))),"")</f>
        <v>0</v>
      </c>
      <c r="H48" s="97"/>
      <c r="I48" s="105">
        <f>IFERROR(ROUND(G48*Settings!$C$5,4),"")</f>
        <v>0</v>
      </c>
      <c r="J48" s="105">
        <f t="shared" si="6"/>
        <v>0</v>
      </c>
      <c r="K48" s="97"/>
      <c r="L48" s="105">
        <f>IFERROR(ROUND(G48*Settings!$C$6,4),"")</f>
        <v>0</v>
      </c>
      <c r="M48" s="105">
        <f t="shared" si="7"/>
        <v>0</v>
      </c>
      <c r="N48" s="97"/>
      <c r="O48" s="97"/>
      <c r="P48" s="105">
        <f t="shared" si="8"/>
        <v>0</v>
      </c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105">
        <f t="shared" si="9"/>
        <v>0</v>
      </c>
      <c r="AC48" s="105">
        <f t="shared" si="10"/>
        <v>0</v>
      </c>
      <c r="AD48" s="105">
        <f t="shared" si="11"/>
        <v>0</v>
      </c>
    </row>
    <row r="49" spans="1:30" ht="15" customHeight="1" x14ac:dyDescent="0.25">
      <c r="A49" s="96"/>
      <c r="B49" s="97"/>
      <c r="C49" s="97"/>
      <c r="D49" s="97"/>
      <c r="E49" s="105">
        <f>IFERROR(INDEX(Employees!$L:$L,SUMPRODUCT((Employees!$A$2:$A$102=C49)*(Employees!$C$2:$C$102=D49)*ROW(Employees!$A$2:$A$102))),"")</f>
        <v>0</v>
      </c>
      <c r="F49" s="97"/>
      <c r="G49" s="105">
        <f>IFERROR(INDEX(Employees!$M:$M,SUMPRODUCT((Employees!$A$2:$A$102=C49)*(Employees!$C$2:$C$102=D49)*ROW(Employees!$A$2:$A$102))),"")</f>
        <v>0</v>
      </c>
      <c r="H49" s="97"/>
      <c r="I49" s="105">
        <f>IFERROR(ROUND(G49*Settings!$C$5,4),"")</f>
        <v>0</v>
      </c>
      <c r="J49" s="105">
        <f t="shared" si="6"/>
        <v>0</v>
      </c>
      <c r="K49" s="97"/>
      <c r="L49" s="105">
        <f>IFERROR(ROUND(G49*Settings!$C$6,4),"")</f>
        <v>0</v>
      </c>
      <c r="M49" s="105">
        <f t="shared" si="7"/>
        <v>0</v>
      </c>
      <c r="N49" s="97"/>
      <c r="O49" s="97"/>
      <c r="P49" s="105">
        <f t="shared" si="8"/>
        <v>0</v>
      </c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105">
        <f t="shared" si="9"/>
        <v>0</v>
      </c>
      <c r="AC49" s="105">
        <f t="shared" si="10"/>
        <v>0</v>
      </c>
      <c r="AD49" s="105">
        <f t="shared" si="11"/>
        <v>0</v>
      </c>
    </row>
    <row r="50" spans="1:30" ht="15" customHeight="1" x14ac:dyDescent="0.25">
      <c r="A50" s="96"/>
      <c r="B50" s="97"/>
      <c r="C50" s="97"/>
      <c r="D50" s="97"/>
      <c r="E50" s="105">
        <f>IFERROR(INDEX(Employees!$L:$L,SUMPRODUCT((Employees!$A$2:$A$102=C50)*(Employees!$C$2:$C$102=D50)*ROW(Employees!$A$2:$A$102))),"")</f>
        <v>0</v>
      </c>
      <c r="F50" s="97"/>
      <c r="G50" s="105">
        <f>IFERROR(INDEX(Employees!$M:$M,SUMPRODUCT((Employees!$A$2:$A$102=C50)*(Employees!$C$2:$C$102=D50)*ROW(Employees!$A$2:$A$102))),"")</f>
        <v>0</v>
      </c>
      <c r="H50" s="97"/>
      <c r="I50" s="105">
        <f>IFERROR(ROUND(G50*Settings!$C$5,4),"")</f>
        <v>0</v>
      </c>
      <c r="J50" s="105">
        <f t="shared" si="6"/>
        <v>0</v>
      </c>
      <c r="K50" s="97"/>
      <c r="L50" s="105">
        <f>IFERROR(ROUND(G50*Settings!$C$6,4),"")</f>
        <v>0</v>
      </c>
      <c r="M50" s="105">
        <f t="shared" si="7"/>
        <v>0</v>
      </c>
      <c r="N50" s="97"/>
      <c r="O50" s="97"/>
      <c r="P50" s="105">
        <f t="shared" si="8"/>
        <v>0</v>
      </c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105">
        <f t="shared" si="9"/>
        <v>0</v>
      </c>
      <c r="AC50" s="105">
        <f t="shared" si="10"/>
        <v>0</v>
      </c>
      <c r="AD50" s="105">
        <f t="shared" si="11"/>
        <v>0</v>
      </c>
    </row>
    <row r="51" spans="1:30" ht="15" customHeight="1" x14ac:dyDescent="0.25">
      <c r="A51" s="96"/>
      <c r="B51" s="97"/>
      <c r="C51" s="97"/>
      <c r="D51" s="97"/>
      <c r="E51" s="105">
        <f>IFERROR(INDEX(Employees!$L:$L,SUMPRODUCT((Employees!$A$2:$A$102=C51)*(Employees!$C$2:$C$102=D51)*ROW(Employees!$A$2:$A$102))),"")</f>
        <v>0</v>
      </c>
      <c r="F51" s="97"/>
      <c r="G51" s="105">
        <f>IFERROR(INDEX(Employees!$M:$M,SUMPRODUCT((Employees!$A$2:$A$102=C51)*(Employees!$C$2:$C$102=D51)*ROW(Employees!$A$2:$A$102))),"")</f>
        <v>0</v>
      </c>
      <c r="H51" s="97"/>
      <c r="I51" s="105">
        <f>IFERROR(ROUND(G51*Settings!$C$5,4),"")</f>
        <v>0</v>
      </c>
      <c r="J51" s="105">
        <f t="shared" si="6"/>
        <v>0</v>
      </c>
      <c r="K51" s="97"/>
      <c r="L51" s="105">
        <f>IFERROR(ROUND(G51*Settings!$C$6,4),"")</f>
        <v>0</v>
      </c>
      <c r="M51" s="105">
        <f t="shared" si="7"/>
        <v>0</v>
      </c>
      <c r="N51" s="97"/>
      <c r="O51" s="97"/>
      <c r="P51" s="105">
        <f t="shared" si="8"/>
        <v>0</v>
      </c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105">
        <f t="shared" si="9"/>
        <v>0</v>
      </c>
      <c r="AC51" s="105">
        <f t="shared" si="10"/>
        <v>0</v>
      </c>
      <c r="AD51" s="105">
        <f t="shared" si="11"/>
        <v>0</v>
      </c>
    </row>
    <row r="52" spans="1:30" ht="15" customHeight="1" x14ac:dyDescent="0.25">
      <c r="A52" s="96"/>
      <c r="B52" s="97"/>
      <c r="C52" s="97"/>
      <c r="D52" s="97"/>
      <c r="E52" s="105">
        <f>IFERROR(INDEX(Employees!$L:$L,SUMPRODUCT((Employees!$A$2:$A$102=C52)*(Employees!$C$2:$C$102=D52)*ROW(Employees!$A$2:$A$102))),"")</f>
        <v>0</v>
      </c>
      <c r="F52" s="97"/>
      <c r="G52" s="105">
        <f>IFERROR(INDEX(Employees!$M:$M,SUMPRODUCT((Employees!$A$2:$A$102=C52)*(Employees!$C$2:$C$102=D52)*ROW(Employees!$A$2:$A$102))),"")</f>
        <v>0</v>
      </c>
      <c r="H52" s="97"/>
      <c r="I52" s="105">
        <f>IFERROR(ROUND(G52*Settings!$C$5,4),"")</f>
        <v>0</v>
      </c>
      <c r="J52" s="105">
        <f t="shared" si="6"/>
        <v>0</v>
      </c>
      <c r="K52" s="97"/>
      <c r="L52" s="105">
        <f>IFERROR(ROUND(G52*Settings!$C$6,4),"")</f>
        <v>0</v>
      </c>
      <c r="M52" s="105">
        <f t="shared" si="7"/>
        <v>0</v>
      </c>
      <c r="N52" s="97"/>
      <c r="O52" s="97"/>
      <c r="P52" s="105">
        <f t="shared" si="8"/>
        <v>0</v>
      </c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105">
        <f t="shared" si="9"/>
        <v>0</v>
      </c>
      <c r="AC52" s="105">
        <f t="shared" si="10"/>
        <v>0</v>
      </c>
      <c r="AD52" s="105">
        <f t="shared" si="11"/>
        <v>0</v>
      </c>
    </row>
    <row r="53" spans="1:30" ht="15" customHeight="1" x14ac:dyDescent="0.25">
      <c r="A53" s="96"/>
      <c r="B53" s="97"/>
      <c r="C53" s="97"/>
      <c r="D53" s="97"/>
      <c r="E53" s="105">
        <f>IFERROR(INDEX(Employees!$L:$L,SUMPRODUCT((Employees!$A$2:$A$102=C53)*(Employees!$C$2:$C$102=D53)*ROW(Employees!$A$2:$A$102))),"")</f>
        <v>0</v>
      </c>
      <c r="F53" s="97"/>
      <c r="G53" s="105">
        <f>IFERROR(INDEX(Employees!$M:$M,SUMPRODUCT((Employees!$A$2:$A$102=C53)*(Employees!$C$2:$C$102=D53)*ROW(Employees!$A$2:$A$102))),"")</f>
        <v>0</v>
      </c>
      <c r="H53" s="97"/>
      <c r="I53" s="105">
        <f>IFERROR(ROUND(G53*Settings!$C$5,4),"")</f>
        <v>0</v>
      </c>
      <c r="J53" s="105">
        <f t="shared" si="6"/>
        <v>0</v>
      </c>
      <c r="K53" s="97"/>
      <c r="L53" s="105">
        <f>IFERROR(ROUND(G53*Settings!$C$6,4),"")</f>
        <v>0</v>
      </c>
      <c r="M53" s="105">
        <f t="shared" si="7"/>
        <v>0</v>
      </c>
      <c r="N53" s="97"/>
      <c r="O53" s="97"/>
      <c r="P53" s="105">
        <f t="shared" si="8"/>
        <v>0</v>
      </c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105">
        <f t="shared" si="9"/>
        <v>0</v>
      </c>
      <c r="AC53" s="105">
        <f t="shared" si="10"/>
        <v>0</v>
      </c>
      <c r="AD53" s="105">
        <f t="shared" si="11"/>
        <v>0</v>
      </c>
    </row>
    <row r="54" spans="1:30" ht="15" customHeight="1" x14ac:dyDescent="0.25">
      <c r="A54" s="96"/>
      <c r="B54" s="97"/>
      <c r="C54" s="97"/>
      <c r="D54" s="97"/>
      <c r="E54" s="105">
        <f>IFERROR(INDEX(Employees!$L:$L,SUMPRODUCT((Employees!$A$2:$A$102=C54)*(Employees!$C$2:$C$102=D54)*ROW(Employees!$A$2:$A$102))),"")</f>
        <v>0</v>
      </c>
      <c r="F54" s="97"/>
      <c r="G54" s="105">
        <f>IFERROR(INDEX(Employees!$M:$M,SUMPRODUCT((Employees!$A$2:$A$102=C54)*(Employees!$C$2:$C$102=D54)*ROW(Employees!$A$2:$A$102))),"")</f>
        <v>0</v>
      </c>
      <c r="H54" s="97"/>
      <c r="I54" s="105">
        <f>IFERROR(ROUND(G54*Settings!$C$5,4),"")</f>
        <v>0</v>
      </c>
      <c r="J54" s="105">
        <f t="shared" si="6"/>
        <v>0</v>
      </c>
      <c r="K54" s="97"/>
      <c r="L54" s="105">
        <f>IFERROR(ROUND(G54*Settings!$C$6,4),"")</f>
        <v>0</v>
      </c>
      <c r="M54" s="105">
        <f t="shared" si="7"/>
        <v>0</v>
      </c>
      <c r="N54" s="97"/>
      <c r="O54" s="97"/>
      <c r="P54" s="105">
        <f t="shared" si="8"/>
        <v>0</v>
      </c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105">
        <f t="shared" si="9"/>
        <v>0</v>
      </c>
      <c r="AC54" s="105">
        <f t="shared" si="10"/>
        <v>0</v>
      </c>
      <c r="AD54" s="105">
        <f t="shared" si="11"/>
        <v>0</v>
      </c>
    </row>
    <row r="55" spans="1:30" ht="15" customHeight="1" x14ac:dyDescent="0.25">
      <c r="A55" s="96"/>
      <c r="B55" s="97"/>
      <c r="C55" s="97"/>
      <c r="D55" s="97"/>
      <c r="E55" s="105">
        <f>IFERROR(INDEX(Employees!$L:$L,SUMPRODUCT((Employees!$A$2:$A$102=C55)*(Employees!$C$2:$C$102=D55)*ROW(Employees!$A$2:$A$102))),"")</f>
        <v>0</v>
      </c>
      <c r="F55" s="97"/>
      <c r="G55" s="105">
        <f>IFERROR(INDEX(Employees!$M:$M,SUMPRODUCT((Employees!$A$2:$A$102=C55)*(Employees!$C$2:$C$102=D55)*ROW(Employees!$A$2:$A$102))),"")</f>
        <v>0</v>
      </c>
      <c r="H55" s="97"/>
      <c r="I55" s="105">
        <f>IFERROR(ROUND(G55*Settings!$C$5,4),"")</f>
        <v>0</v>
      </c>
      <c r="J55" s="105">
        <f t="shared" si="6"/>
        <v>0</v>
      </c>
      <c r="K55" s="97"/>
      <c r="L55" s="105">
        <f>IFERROR(ROUND(G55*Settings!$C$6,4),"")</f>
        <v>0</v>
      </c>
      <c r="M55" s="105">
        <f t="shared" si="7"/>
        <v>0</v>
      </c>
      <c r="N55" s="97"/>
      <c r="O55" s="97"/>
      <c r="P55" s="105">
        <f t="shared" si="8"/>
        <v>0</v>
      </c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105">
        <f t="shared" si="9"/>
        <v>0</v>
      </c>
      <c r="AC55" s="105">
        <f t="shared" si="10"/>
        <v>0</v>
      </c>
      <c r="AD55" s="105">
        <f t="shared" si="11"/>
        <v>0</v>
      </c>
    </row>
    <row r="56" spans="1:30" ht="15" customHeight="1" x14ac:dyDescent="0.25">
      <c r="A56" s="96"/>
      <c r="B56" s="97"/>
      <c r="C56" s="97"/>
      <c r="D56" s="97"/>
      <c r="E56" s="105">
        <f>IFERROR(INDEX(Employees!$L:$L,SUMPRODUCT((Employees!$A$2:$A$102=C56)*(Employees!$C$2:$C$102=D56)*ROW(Employees!$A$2:$A$102))),"")</f>
        <v>0</v>
      </c>
      <c r="F56" s="97"/>
      <c r="G56" s="105">
        <f>IFERROR(INDEX(Employees!$M:$M,SUMPRODUCT((Employees!$A$2:$A$102=C56)*(Employees!$C$2:$C$102=D56)*ROW(Employees!$A$2:$A$102))),"")</f>
        <v>0</v>
      </c>
      <c r="H56" s="97"/>
      <c r="I56" s="105">
        <f>IFERROR(ROUND(G56*Settings!$C$5,4),"")</f>
        <v>0</v>
      </c>
      <c r="J56" s="105">
        <f t="shared" si="6"/>
        <v>0</v>
      </c>
      <c r="K56" s="97"/>
      <c r="L56" s="105">
        <f>IFERROR(ROUND(G56*Settings!$C$6,4),"")</f>
        <v>0</v>
      </c>
      <c r="M56" s="105">
        <f t="shared" si="7"/>
        <v>0</v>
      </c>
      <c r="N56" s="97"/>
      <c r="O56" s="97"/>
      <c r="P56" s="105">
        <f t="shared" si="8"/>
        <v>0</v>
      </c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105">
        <f t="shared" si="9"/>
        <v>0</v>
      </c>
      <c r="AC56" s="105">
        <f t="shared" si="10"/>
        <v>0</v>
      </c>
      <c r="AD56" s="105">
        <f t="shared" si="11"/>
        <v>0</v>
      </c>
    </row>
    <row r="57" spans="1:30" ht="15" customHeight="1" x14ac:dyDescent="0.25">
      <c r="A57" s="96"/>
      <c r="B57" s="97"/>
      <c r="C57" s="97"/>
      <c r="D57" s="97"/>
      <c r="E57" s="105">
        <f>IFERROR(INDEX(Employees!$L:$L,SUMPRODUCT((Employees!$A$2:$A$102=C57)*(Employees!$C$2:$C$102=D57)*ROW(Employees!$A$2:$A$102))),"")</f>
        <v>0</v>
      </c>
      <c r="F57" s="97"/>
      <c r="G57" s="105">
        <f>IFERROR(INDEX(Employees!$M:$M,SUMPRODUCT((Employees!$A$2:$A$102=C57)*(Employees!$C$2:$C$102=D57)*ROW(Employees!$A$2:$A$102))),"")</f>
        <v>0</v>
      </c>
      <c r="H57" s="97"/>
      <c r="I57" s="105">
        <f>IFERROR(ROUND(G57*Settings!$C$5,4),"")</f>
        <v>0</v>
      </c>
      <c r="J57" s="105">
        <f t="shared" si="6"/>
        <v>0</v>
      </c>
      <c r="K57" s="97"/>
      <c r="L57" s="105">
        <f>IFERROR(ROUND(G57*Settings!$C$6,4),"")</f>
        <v>0</v>
      </c>
      <c r="M57" s="105">
        <f t="shared" si="7"/>
        <v>0</v>
      </c>
      <c r="N57" s="97"/>
      <c r="O57" s="97"/>
      <c r="P57" s="105">
        <f t="shared" si="8"/>
        <v>0</v>
      </c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105">
        <f t="shared" si="9"/>
        <v>0</v>
      </c>
      <c r="AC57" s="105">
        <f t="shared" si="10"/>
        <v>0</v>
      </c>
      <c r="AD57" s="105">
        <f t="shared" si="11"/>
        <v>0</v>
      </c>
    </row>
    <row r="58" spans="1:30" ht="15" customHeight="1" x14ac:dyDescent="0.25">
      <c r="A58" s="96"/>
      <c r="B58" s="97"/>
      <c r="C58" s="97"/>
      <c r="D58" s="97"/>
      <c r="E58" s="105">
        <f>IFERROR(INDEX(Employees!$L:$L,SUMPRODUCT((Employees!$A$2:$A$102=C58)*(Employees!$C$2:$C$102=D58)*ROW(Employees!$A$2:$A$102))),"")</f>
        <v>0</v>
      </c>
      <c r="F58" s="97"/>
      <c r="G58" s="105">
        <f>IFERROR(INDEX(Employees!$M:$M,SUMPRODUCT((Employees!$A$2:$A$102=C58)*(Employees!$C$2:$C$102=D58)*ROW(Employees!$A$2:$A$102))),"")</f>
        <v>0</v>
      </c>
      <c r="H58" s="97"/>
      <c r="I58" s="105">
        <f>IFERROR(ROUND(G58*Settings!$C$5,4),"")</f>
        <v>0</v>
      </c>
      <c r="J58" s="105">
        <f t="shared" si="6"/>
        <v>0</v>
      </c>
      <c r="K58" s="97"/>
      <c r="L58" s="105">
        <f>IFERROR(ROUND(G58*Settings!$C$6,4),"")</f>
        <v>0</v>
      </c>
      <c r="M58" s="105">
        <f t="shared" si="7"/>
        <v>0</v>
      </c>
      <c r="N58" s="97"/>
      <c r="O58" s="97"/>
      <c r="P58" s="105">
        <f t="shared" si="8"/>
        <v>0</v>
      </c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105">
        <f t="shared" si="9"/>
        <v>0</v>
      </c>
      <c r="AC58" s="105">
        <f t="shared" si="10"/>
        <v>0</v>
      </c>
      <c r="AD58" s="105">
        <f t="shared" si="11"/>
        <v>0</v>
      </c>
    </row>
    <row r="59" spans="1:30" ht="15" customHeight="1" x14ac:dyDescent="0.25">
      <c r="A59" s="96"/>
      <c r="B59" s="97"/>
      <c r="C59" s="97"/>
      <c r="D59" s="97"/>
      <c r="E59" s="105">
        <f>IFERROR(INDEX(Employees!$L:$L,SUMPRODUCT((Employees!$A$2:$A$102=C59)*(Employees!$C$2:$C$102=D59)*ROW(Employees!$A$2:$A$102))),"")</f>
        <v>0</v>
      </c>
      <c r="F59" s="97"/>
      <c r="G59" s="105">
        <f>IFERROR(INDEX(Employees!$M:$M,SUMPRODUCT((Employees!$A$2:$A$102=C59)*(Employees!$C$2:$C$102=D59)*ROW(Employees!$A$2:$A$102))),"")</f>
        <v>0</v>
      </c>
      <c r="H59" s="97"/>
      <c r="I59" s="105">
        <f>IFERROR(ROUND(G59*Settings!$C$5,4),"")</f>
        <v>0</v>
      </c>
      <c r="J59" s="105">
        <f t="shared" si="6"/>
        <v>0</v>
      </c>
      <c r="K59" s="97"/>
      <c r="L59" s="105">
        <f>IFERROR(ROUND(G59*Settings!$C$6,4),"")</f>
        <v>0</v>
      </c>
      <c r="M59" s="105">
        <f t="shared" si="7"/>
        <v>0</v>
      </c>
      <c r="N59" s="97"/>
      <c r="O59" s="97"/>
      <c r="P59" s="105">
        <f t="shared" si="8"/>
        <v>0</v>
      </c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  <c r="AB59" s="105">
        <f t="shared" si="9"/>
        <v>0</v>
      </c>
      <c r="AC59" s="105">
        <f t="shared" si="10"/>
        <v>0</v>
      </c>
      <c r="AD59" s="105">
        <f t="shared" si="11"/>
        <v>0</v>
      </c>
    </row>
    <row r="60" spans="1:30" ht="15" customHeight="1" x14ac:dyDescent="0.25">
      <c r="A60" s="96"/>
      <c r="B60" s="97"/>
      <c r="C60" s="97"/>
      <c r="D60" s="97"/>
      <c r="E60" s="105">
        <f>IFERROR(INDEX(Employees!$L:$L,SUMPRODUCT((Employees!$A$2:$A$102=C60)*(Employees!$C$2:$C$102=D60)*ROW(Employees!$A$2:$A$102))),"")</f>
        <v>0</v>
      </c>
      <c r="F60" s="97"/>
      <c r="G60" s="105">
        <f>IFERROR(INDEX(Employees!$M:$M,SUMPRODUCT((Employees!$A$2:$A$102=C60)*(Employees!$C$2:$C$102=D60)*ROW(Employees!$A$2:$A$102))),"")</f>
        <v>0</v>
      </c>
      <c r="H60" s="97"/>
      <c r="I60" s="105">
        <f>IFERROR(ROUND(G60*Settings!$C$5,4),"")</f>
        <v>0</v>
      </c>
      <c r="J60" s="105">
        <f t="shared" si="6"/>
        <v>0</v>
      </c>
      <c r="K60" s="97"/>
      <c r="L60" s="105">
        <f>IFERROR(ROUND(G60*Settings!$C$6,4),"")</f>
        <v>0</v>
      </c>
      <c r="M60" s="105">
        <f t="shared" si="7"/>
        <v>0</v>
      </c>
      <c r="N60" s="97"/>
      <c r="O60" s="97"/>
      <c r="P60" s="105">
        <f t="shared" si="8"/>
        <v>0</v>
      </c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  <c r="AB60" s="105">
        <f t="shared" si="9"/>
        <v>0</v>
      </c>
      <c r="AC60" s="105">
        <f t="shared" si="10"/>
        <v>0</v>
      </c>
      <c r="AD60" s="105">
        <f t="shared" si="11"/>
        <v>0</v>
      </c>
    </row>
    <row r="61" spans="1:30" ht="15" customHeight="1" x14ac:dyDescent="0.25">
      <c r="A61" s="96"/>
      <c r="B61" s="97"/>
      <c r="C61" s="97"/>
      <c r="D61" s="97"/>
      <c r="E61" s="105">
        <f>IFERROR(INDEX(Employees!$L:$L,SUMPRODUCT((Employees!$A$2:$A$102=C61)*(Employees!$C$2:$C$102=D61)*ROW(Employees!$A$2:$A$102))),"")</f>
        <v>0</v>
      </c>
      <c r="F61" s="97"/>
      <c r="G61" s="105">
        <f>IFERROR(INDEX(Employees!$M:$M,SUMPRODUCT((Employees!$A$2:$A$102=C61)*(Employees!$C$2:$C$102=D61)*ROW(Employees!$A$2:$A$102))),"")</f>
        <v>0</v>
      </c>
      <c r="H61" s="97"/>
      <c r="I61" s="105">
        <f>IFERROR(ROUND(G61*Settings!$C$5,4),"")</f>
        <v>0</v>
      </c>
      <c r="J61" s="105">
        <f t="shared" si="6"/>
        <v>0</v>
      </c>
      <c r="K61" s="97"/>
      <c r="L61" s="105">
        <f>IFERROR(ROUND(G61*Settings!$C$6,4),"")</f>
        <v>0</v>
      </c>
      <c r="M61" s="105">
        <f t="shared" si="7"/>
        <v>0</v>
      </c>
      <c r="N61" s="97"/>
      <c r="O61" s="97"/>
      <c r="P61" s="105">
        <f t="shared" si="8"/>
        <v>0</v>
      </c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  <c r="AB61" s="105">
        <f t="shared" si="9"/>
        <v>0</v>
      </c>
      <c r="AC61" s="105">
        <f t="shared" si="10"/>
        <v>0</v>
      </c>
      <c r="AD61" s="105">
        <f t="shared" si="11"/>
        <v>0</v>
      </c>
    </row>
    <row r="62" spans="1:30" ht="15" customHeight="1" x14ac:dyDescent="0.25">
      <c r="A62" s="96"/>
      <c r="B62" s="97"/>
      <c r="C62" s="97"/>
      <c r="D62" s="97"/>
      <c r="E62" s="105">
        <f>IFERROR(INDEX(Employees!$L:$L,SUMPRODUCT((Employees!$A$2:$A$102=C62)*(Employees!$C$2:$C$102=D62)*ROW(Employees!$A$2:$A$102))),"")</f>
        <v>0</v>
      </c>
      <c r="F62" s="97"/>
      <c r="G62" s="105">
        <f>IFERROR(INDEX(Employees!$M:$M,SUMPRODUCT((Employees!$A$2:$A$102=C62)*(Employees!$C$2:$C$102=D62)*ROW(Employees!$A$2:$A$102))),"")</f>
        <v>0</v>
      </c>
      <c r="H62" s="97"/>
      <c r="I62" s="105">
        <f>IFERROR(ROUND(G62*Settings!$C$5,4),"")</f>
        <v>0</v>
      </c>
      <c r="J62" s="105">
        <f t="shared" si="6"/>
        <v>0</v>
      </c>
      <c r="K62" s="97"/>
      <c r="L62" s="105">
        <f>IFERROR(ROUND(G62*Settings!$C$6,4),"")</f>
        <v>0</v>
      </c>
      <c r="M62" s="105">
        <f t="shared" si="7"/>
        <v>0</v>
      </c>
      <c r="N62" s="97"/>
      <c r="O62" s="97"/>
      <c r="P62" s="105">
        <f t="shared" si="8"/>
        <v>0</v>
      </c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  <c r="AB62" s="105">
        <f t="shared" si="9"/>
        <v>0</v>
      </c>
      <c r="AC62" s="105">
        <f t="shared" si="10"/>
        <v>0</v>
      </c>
      <c r="AD62" s="105">
        <f t="shared" si="11"/>
        <v>0</v>
      </c>
    </row>
    <row r="63" spans="1:30" ht="15" customHeight="1" x14ac:dyDescent="0.25">
      <c r="A63" s="96"/>
      <c r="B63" s="97"/>
      <c r="C63" s="97"/>
      <c r="D63" s="97"/>
      <c r="E63" s="105">
        <f>IFERROR(INDEX(Employees!$L:$L,SUMPRODUCT((Employees!$A$2:$A$102=C63)*(Employees!$C$2:$C$102=D63)*ROW(Employees!$A$2:$A$102))),"")</f>
        <v>0</v>
      </c>
      <c r="F63" s="97"/>
      <c r="G63" s="105">
        <f>IFERROR(INDEX(Employees!$M:$M,SUMPRODUCT((Employees!$A$2:$A$102=C63)*(Employees!$C$2:$C$102=D63)*ROW(Employees!$A$2:$A$102))),"")</f>
        <v>0</v>
      </c>
      <c r="H63" s="97"/>
      <c r="I63" s="105">
        <f>IFERROR(ROUND(G63*Settings!$C$5,4),"")</f>
        <v>0</v>
      </c>
      <c r="J63" s="105">
        <f t="shared" si="6"/>
        <v>0</v>
      </c>
      <c r="K63" s="97"/>
      <c r="L63" s="105">
        <f>IFERROR(ROUND(G63*Settings!$C$6,4),"")</f>
        <v>0</v>
      </c>
      <c r="M63" s="105">
        <f t="shared" si="7"/>
        <v>0</v>
      </c>
      <c r="N63" s="97"/>
      <c r="O63" s="97"/>
      <c r="P63" s="105">
        <f t="shared" si="8"/>
        <v>0</v>
      </c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  <c r="AB63" s="105">
        <f t="shared" si="9"/>
        <v>0</v>
      </c>
      <c r="AC63" s="105">
        <f t="shared" si="10"/>
        <v>0</v>
      </c>
      <c r="AD63" s="105">
        <f t="shared" si="11"/>
        <v>0</v>
      </c>
    </row>
    <row r="64" spans="1:30" ht="15" customHeight="1" x14ac:dyDescent="0.25">
      <c r="A64" s="96"/>
      <c r="B64" s="97"/>
      <c r="C64" s="97"/>
      <c r="D64" s="97"/>
      <c r="E64" s="105">
        <f>IFERROR(INDEX(Employees!$L:$L,SUMPRODUCT((Employees!$A$2:$A$102=C64)*(Employees!$C$2:$C$102=D64)*ROW(Employees!$A$2:$A$102))),"")</f>
        <v>0</v>
      </c>
      <c r="F64" s="97"/>
      <c r="G64" s="105">
        <f>IFERROR(INDEX(Employees!$M:$M,SUMPRODUCT((Employees!$A$2:$A$102=C64)*(Employees!$C$2:$C$102=D64)*ROW(Employees!$A$2:$A$102))),"")</f>
        <v>0</v>
      </c>
      <c r="H64" s="97"/>
      <c r="I64" s="105">
        <f>IFERROR(ROUND(G64*Settings!$C$5,4),"")</f>
        <v>0</v>
      </c>
      <c r="J64" s="105">
        <f t="shared" si="6"/>
        <v>0</v>
      </c>
      <c r="K64" s="97"/>
      <c r="L64" s="105">
        <f>IFERROR(ROUND(G64*Settings!$C$6,4),"")</f>
        <v>0</v>
      </c>
      <c r="M64" s="105">
        <f t="shared" si="7"/>
        <v>0</v>
      </c>
      <c r="N64" s="97"/>
      <c r="O64" s="97"/>
      <c r="P64" s="105">
        <f t="shared" si="8"/>
        <v>0</v>
      </c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105">
        <f t="shared" si="9"/>
        <v>0</v>
      </c>
      <c r="AC64" s="105">
        <f t="shared" si="10"/>
        <v>0</v>
      </c>
      <c r="AD64" s="105">
        <f t="shared" si="11"/>
        <v>0</v>
      </c>
    </row>
    <row r="65" spans="1:30" ht="15" customHeight="1" x14ac:dyDescent="0.25">
      <c r="A65" s="96"/>
      <c r="B65" s="97"/>
      <c r="C65" s="97"/>
      <c r="D65" s="97"/>
      <c r="E65" s="105">
        <f>IFERROR(INDEX(Employees!$L:$L,SUMPRODUCT((Employees!$A$2:$A$102=C65)*(Employees!$C$2:$C$102=D65)*ROW(Employees!$A$2:$A$102))),"")</f>
        <v>0</v>
      </c>
      <c r="F65" s="97"/>
      <c r="G65" s="105">
        <f>IFERROR(INDEX(Employees!$M:$M,SUMPRODUCT((Employees!$A$2:$A$102=C65)*(Employees!$C$2:$C$102=D65)*ROW(Employees!$A$2:$A$102))),"")</f>
        <v>0</v>
      </c>
      <c r="H65" s="97"/>
      <c r="I65" s="105">
        <f>IFERROR(ROUND(G65*Settings!$C$5,4),"")</f>
        <v>0</v>
      </c>
      <c r="J65" s="105">
        <f t="shared" si="6"/>
        <v>0</v>
      </c>
      <c r="K65" s="97"/>
      <c r="L65" s="105">
        <f>IFERROR(ROUND(G65*Settings!$C$6,4),"")</f>
        <v>0</v>
      </c>
      <c r="M65" s="105">
        <f t="shared" si="7"/>
        <v>0</v>
      </c>
      <c r="N65" s="97"/>
      <c r="O65" s="97"/>
      <c r="P65" s="105">
        <f t="shared" si="8"/>
        <v>0</v>
      </c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  <c r="AB65" s="105">
        <f t="shared" si="9"/>
        <v>0</v>
      </c>
      <c r="AC65" s="105">
        <f t="shared" si="10"/>
        <v>0</v>
      </c>
      <c r="AD65" s="105">
        <f t="shared" si="11"/>
        <v>0</v>
      </c>
    </row>
    <row r="66" spans="1:30" ht="15" customHeight="1" x14ac:dyDescent="0.25">
      <c r="A66" s="96"/>
      <c r="B66" s="97"/>
      <c r="C66" s="97"/>
      <c r="D66" s="97"/>
      <c r="E66" s="105">
        <f>IFERROR(INDEX(Employees!$L:$L,SUMPRODUCT((Employees!$A$2:$A$102=C66)*(Employees!$C$2:$C$102=D66)*ROW(Employees!$A$2:$A$102))),"")</f>
        <v>0</v>
      </c>
      <c r="F66" s="97"/>
      <c r="G66" s="105">
        <f>IFERROR(INDEX(Employees!$M:$M,SUMPRODUCT((Employees!$A$2:$A$102=C66)*(Employees!$C$2:$C$102=D66)*ROW(Employees!$A$2:$A$102))),"")</f>
        <v>0</v>
      </c>
      <c r="H66" s="97"/>
      <c r="I66" s="105">
        <f>IFERROR(ROUND(G66*Settings!$C$5,4),"")</f>
        <v>0</v>
      </c>
      <c r="J66" s="105">
        <f t="shared" ref="J66:J97" si="12">IFERROR(ROUND(H66*I66,2),"")</f>
        <v>0</v>
      </c>
      <c r="K66" s="97"/>
      <c r="L66" s="105">
        <f>IFERROR(ROUND(G66*Settings!$C$6,4),"")</f>
        <v>0</v>
      </c>
      <c r="M66" s="105">
        <f t="shared" ref="M66:M97" si="13">IFERROR(ROUND(K66*L66,2),0)</f>
        <v>0</v>
      </c>
      <c r="N66" s="97"/>
      <c r="O66" s="97"/>
      <c r="P66" s="105">
        <f t="shared" ref="P66:P97" si="14">IFERROR(ROUND(N66*O66,2),"")</f>
        <v>0</v>
      </c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105">
        <f t="shared" ref="AB66:AB100" si="15">SUM(E66,J66,M66,P66,Q66,R66,S66,T66)</f>
        <v>0</v>
      </c>
      <c r="AC66" s="105">
        <f t="shared" ref="AC66:AC100" si="16">SUM(U66,V66,W66,X66,Y66,Z66,AA66)</f>
        <v>0</v>
      </c>
      <c r="AD66" s="105">
        <f t="shared" ref="AD66:AD97" si="17">AB66-AC66</f>
        <v>0</v>
      </c>
    </row>
    <row r="67" spans="1:30" ht="15" customHeight="1" x14ac:dyDescent="0.25">
      <c r="A67" s="96"/>
      <c r="B67" s="97"/>
      <c r="C67" s="97"/>
      <c r="D67" s="97"/>
      <c r="E67" s="105">
        <f>IFERROR(INDEX(Employees!$L:$L,SUMPRODUCT((Employees!$A$2:$A$102=C67)*(Employees!$C$2:$C$102=D67)*ROW(Employees!$A$2:$A$102))),"")</f>
        <v>0</v>
      </c>
      <c r="F67" s="97"/>
      <c r="G67" s="105">
        <f>IFERROR(INDEX(Employees!$M:$M,SUMPRODUCT((Employees!$A$2:$A$102=C67)*(Employees!$C$2:$C$102=D67)*ROW(Employees!$A$2:$A$102))),"")</f>
        <v>0</v>
      </c>
      <c r="H67" s="97"/>
      <c r="I67" s="105">
        <f>IFERROR(ROUND(G67*Settings!$C$5,4),"")</f>
        <v>0</v>
      </c>
      <c r="J67" s="105">
        <f t="shared" si="12"/>
        <v>0</v>
      </c>
      <c r="K67" s="97"/>
      <c r="L67" s="105">
        <f>IFERROR(ROUND(G67*Settings!$C$6,4),"")</f>
        <v>0</v>
      </c>
      <c r="M67" s="105">
        <f t="shared" si="13"/>
        <v>0</v>
      </c>
      <c r="N67" s="97"/>
      <c r="O67" s="97"/>
      <c r="P67" s="105">
        <f t="shared" si="14"/>
        <v>0</v>
      </c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105">
        <f t="shared" si="15"/>
        <v>0</v>
      </c>
      <c r="AC67" s="105">
        <f t="shared" si="16"/>
        <v>0</v>
      </c>
      <c r="AD67" s="105">
        <f t="shared" si="17"/>
        <v>0</v>
      </c>
    </row>
    <row r="68" spans="1:30" ht="15" customHeight="1" x14ac:dyDescent="0.25">
      <c r="A68" s="96"/>
      <c r="B68" s="97"/>
      <c r="C68" s="97"/>
      <c r="D68" s="97"/>
      <c r="E68" s="105">
        <f>IFERROR(INDEX(Employees!$L:$L,SUMPRODUCT((Employees!$A$2:$A$102=C68)*(Employees!$C$2:$C$102=D68)*ROW(Employees!$A$2:$A$102))),"")</f>
        <v>0</v>
      </c>
      <c r="F68" s="97"/>
      <c r="G68" s="105">
        <f>IFERROR(INDEX(Employees!$M:$M,SUMPRODUCT((Employees!$A$2:$A$102=C68)*(Employees!$C$2:$C$102=D68)*ROW(Employees!$A$2:$A$102))),"")</f>
        <v>0</v>
      </c>
      <c r="H68" s="97"/>
      <c r="I68" s="105">
        <f>IFERROR(ROUND(G68*Settings!$C$5,4),"")</f>
        <v>0</v>
      </c>
      <c r="J68" s="105">
        <f t="shared" si="12"/>
        <v>0</v>
      </c>
      <c r="K68" s="97"/>
      <c r="L68" s="105">
        <f>IFERROR(ROUND(G68*Settings!$C$6,4),"")</f>
        <v>0</v>
      </c>
      <c r="M68" s="105">
        <f t="shared" si="13"/>
        <v>0</v>
      </c>
      <c r="N68" s="97"/>
      <c r="O68" s="97"/>
      <c r="P68" s="105">
        <f t="shared" si="14"/>
        <v>0</v>
      </c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  <c r="AB68" s="105">
        <f t="shared" si="15"/>
        <v>0</v>
      </c>
      <c r="AC68" s="105">
        <f t="shared" si="16"/>
        <v>0</v>
      </c>
      <c r="AD68" s="105">
        <f t="shared" si="17"/>
        <v>0</v>
      </c>
    </row>
    <row r="69" spans="1:30" ht="15" customHeight="1" x14ac:dyDescent="0.25">
      <c r="A69" s="96"/>
      <c r="B69" s="97"/>
      <c r="C69" s="97"/>
      <c r="D69" s="97"/>
      <c r="E69" s="105">
        <f>IFERROR(INDEX(Employees!$L:$L,SUMPRODUCT((Employees!$A$2:$A$102=C69)*(Employees!$C$2:$C$102=D69)*ROW(Employees!$A$2:$A$102))),"")</f>
        <v>0</v>
      </c>
      <c r="F69" s="97"/>
      <c r="G69" s="105">
        <f>IFERROR(INDEX(Employees!$M:$M,SUMPRODUCT((Employees!$A$2:$A$102=C69)*(Employees!$C$2:$C$102=D69)*ROW(Employees!$A$2:$A$102))),"")</f>
        <v>0</v>
      </c>
      <c r="H69" s="97"/>
      <c r="I69" s="105">
        <f>IFERROR(ROUND(G69*Settings!$C$5,4),"")</f>
        <v>0</v>
      </c>
      <c r="J69" s="105">
        <f t="shared" si="12"/>
        <v>0</v>
      </c>
      <c r="K69" s="97"/>
      <c r="L69" s="105">
        <f>IFERROR(ROUND(G69*Settings!$C$6,4),"")</f>
        <v>0</v>
      </c>
      <c r="M69" s="105">
        <f t="shared" si="13"/>
        <v>0</v>
      </c>
      <c r="N69" s="97"/>
      <c r="O69" s="97"/>
      <c r="P69" s="105">
        <f t="shared" si="14"/>
        <v>0</v>
      </c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  <c r="AB69" s="105">
        <f t="shared" si="15"/>
        <v>0</v>
      </c>
      <c r="AC69" s="105">
        <f t="shared" si="16"/>
        <v>0</v>
      </c>
      <c r="AD69" s="105">
        <f t="shared" si="17"/>
        <v>0</v>
      </c>
    </row>
    <row r="70" spans="1:30" ht="15" customHeight="1" x14ac:dyDescent="0.25">
      <c r="A70" s="96"/>
      <c r="B70" s="97"/>
      <c r="C70" s="97"/>
      <c r="D70" s="97"/>
      <c r="E70" s="105">
        <f>IFERROR(INDEX(Employees!$L:$L,SUMPRODUCT((Employees!$A$2:$A$102=C70)*(Employees!$C$2:$C$102=D70)*ROW(Employees!$A$2:$A$102))),"")</f>
        <v>0</v>
      </c>
      <c r="F70" s="97"/>
      <c r="G70" s="105">
        <f>IFERROR(INDEX(Employees!$M:$M,SUMPRODUCT((Employees!$A$2:$A$102=C70)*(Employees!$C$2:$C$102=D70)*ROW(Employees!$A$2:$A$102))),"")</f>
        <v>0</v>
      </c>
      <c r="H70" s="97"/>
      <c r="I70" s="105">
        <f>IFERROR(ROUND(G70*Settings!$C$5,4),"")</f>
        <v>0</v>
      </c>
      <c r="J70" s="105">
        <f t="shared" si="12"/>
        <v>0</v>
      </c>
      <c r="K70" s="97"/>
      <c r="L70" s="105">
        <f>IFERROR(ROUND(G70*Settings!$C$6,4),"")</f>
        <v>0</v>
      </c>
      <c r="M70" s="105">
        <f t="shared" si="13"/>
        <v>0</v>
      </c>
      <c r="N70" s="97"/>
      <c r="O70" s="97"/>
      <c r="P70" s="105">
        <f t="shared" si="14"/>
        <v>0</v>
      </c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97"/>
      <c r="AB70" s="105">
        <f t="shared" si="15"/>
        <v>0</v>
      </c>
      <c r="AC70" s="105">
        <f t="shared" si="16"/>
        <v>0</v>
      </c>
      <c r="AD70" s="105">
        <f t="shared" si="17"/>
        <v>0</v>
      </c>
    </row>
    <row r="71" spans="1:30" ht="15" customHeight="1" x14ac:dyDescent="0.25">
      <c r="A71" s="96"/>
      <c r="B71" s="97"/>
      <c r="C71" s="97"/>
      <c r="D71" s="97"/>
      <c r="E71" s="105">
        <f>IFERROR(INDEX(Employees!$L:$L,SUMPRODUCT((Employees!$A$2:$A$102=C71)*(Employees!$C$2:$C$102=D71)*ROW(Employees!$A$2:$A$102))),"")</f>
        <v>0</v>
      </c>
      <c r="F71" s="97"/>
      <c r="G71" s="105">
        <f>IFERROR(INDEX(Employees!$M:$M,SUMPRODUCT((Employees!$A$2:$A$102=C71)*(Employees!$C$2:$C$102=D71)*ROW(Employees!$A$2:$A$102))),"")</f>
        <v>0</v>
      </c>
      <c r="H71" s="97"/>
      <c r="I71" s="105">
        <f>IFERROR(ROUND(G71*Settings!$C$5,4),"")</f>
        <v>0</v>
      </c>
      <c r="J71" s="105">
        <f t="shared" si="12"/>
        <v>0</v>
      </c>
      <c r="K71" s="97"/>
      <c r="L71" s="105">
        <f>IFERROR(ROUND(G71*Settings!$C$6,4),"")</f>
        <v>0</v>
      </c>
      <c r="M71" s="105">
        <f t="shared" si="13"/>
        <v>0</v>
      </c>
      <c r="N71" s="97"/>
      <c r="O71" s="97"/>
      <c r="P71" s="105">
        <f t="shared" si="14"/>
        <v>0</v>
      </c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  <c r="AB71" s="105">
        <f t="shared" si="15"/>
        <v>0</v>
      </c>
      <c r="AC71" s="105">
        <f t="shared" si="16"/>
        <v>0</v>
      </c>
      <c r="AD71" s="105">
        <f t="shared" si="17"/>
        <v>0</v>
      </c>
    </row>
    <row r="72" spans="1:30" ht="15" customHeight="1" x14ac:dyDescent="0.25">
      <c r="A72" s="96"/>
      <c r="B72" s="97"/>
      <c r="C72" s="97"/>
      <c r="D72" s="97"/>
      <c r="E72" s="105">
        <f>IFERROR(INDEX(Employees!$L:$L,SUMPRODUCT((Employees!$A$2:$A$102=C72)*(Employees!$C$2:$C$102=D72)*ROW(Employees!$A$2:$A$102))),"")</f>
        <v>0</v>
      </c>
      <c r="F72" s="97"/>
      <c r="G72" s="105">
        <f>IFERROR(INDEX(Employees!$M:$M,SUMPRODUCT((Employees!$A$2:$A$102=C72)*(Employees!$C$2:$C$102=D72)*ROW(Employees!$A$2:$A$102))),"")</f>
        <v>0</v>
      </c>
      <c r="H72" s="97"/>
      <c r="I72" s="105">
        <f>IFERROR(ROUND(G72*Settings!$C$5,4),"")</f>
        <v>0</v>
      </c>
      <c r="J72" s="105">
        <f t="shared" si="12"/>
        <v>0</v>
      </c>
      <c r="K72" s="97"/>
      <c r="L72" s="105">
        <f>IFERROR(ROUND(G72*Settings!$C$6,4),"")</f>
        <v>0</v>
      </c>
      <c r="M72" s="105">
        <f t="shared" si="13"/>
        <v>0</v>
      </c>
      <c r="N72" s="97"/>
      <c r="O72" s="97"/>
      <c r="P72" s="105">
        <f t="shared" si="14"/>
        <v>0</v>
      </c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97"/>
      <c r="AB72" s="105">
        <f t="shared" si="15"/>
        <v>0</v>
      </c>
      <c r="AC72" s="105">
        <f t="shared" si="16"/>
        <v>0</v>
      </c>
      <c r="AD72" s="105">
        <f t="shared" si="17"/>
        <v>0</v>
      </c>
    </row>
    <row r="73" spans="1:30" ht="15" customHeight="1" x14ac:dyDescent="0.25">
      <c r="A73" s="96"/>
      <c r="B73" s="97"/>
      <c r="C73" s="97"/>
      <c r="D73" s="97"/>
      <c r="E73" s="105">
        <f>IFERROR(INDEX(Employees!$L:$L,SUMPRODUCT((Employees!$A$2:$A$102=C73)*(Employees!$C$2:$C$102=D73)*ROW(Employees!$A$2:$A$102))),"")</f>
        <v>0</v>
      </c>
      <c r="F73" s="97"/>
      <c r="G73" s="105">
        <f>IFERROR(INDEX(Employees!$M:$M,SUMPRODUCT((Employees!$A$2:$A$102=C73)*(Employees!$C$2:$C$102=D73)*ROW(Employees!$A$2:$A$102))),"")</f>
        <v>0</v>
      </c>
      <c r="H73" s="97"/>
      <c r="I73" s="105">
        <f>IFERROR(ROUND(G73*Settings!$C$5,4),"")</f>
        <v>0</v>
      </c>
      <c r="J73" s="105">
        <f t="shared" si="12"/>
        <v>0</v>
      </c>
      <c r="K73" s="97"/>
      <c r="L73" s="105">
        <f>IFERROR(ROUND(G73*Settings!$C$6,4),"")</f>
        <v>0</v>
      </c>
      <c r="M73" s="105">
        <f t="shared" si="13"/>
        <v>0</v>
      </c>
      <c r="N73" s="97"/>
      <c r="O73" s="97"/>
      <c r="P73" s="105">
        <f t="shared" si="14"/>
        <v>0</v>
      </c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97"/>
      <c r="AB73" s="105">
        <f t="shared" si="15"/>
        <v>0</v>
      </c>
      <c r="AC73" s="105">
        <f t="shared" si="16"/>
        <v>0</v>
      </c>
      <c r="AD73" s="105">
        <f t="shared" si="17"/>
        <v>0</v>
      </c>
    </row>
    <row r="74" spans="1:30" ht="15" customHeight="1" x14ac:dyDescent="0.25">
      <c r="A74" s="96"/>
      <c r="B74" s="97"/>
      <c r="C74" s="97"/>
      <c r="D74" s="97"/>
      <c r="E74" s="105">
        <f>IFERROR(INDEX(Employees!$L:$L,SUMPRODUCT((Employees!$A$2:$A$102=C74)*(Employees!$C$2:$C$102=D74)*ROW(Employees!$A$2:$A$102))),"")</f>
        <v>0</v>
      </c>
      <c r="F74" s="97"/>
      <c r="G74" s="105">
        <f>IFERROR(INDEX(Employees!$M:$M,SUMPRODUCT((Employees!$A$2:$A$102=C74)*(Employees!$C$2:$C$102=D74)*ROW(Employees!$A$2:$A$102))),"")</f>
        <v>0</v>
      </c>
      <c r="H74" s="97"/>
      <c r="I74" s="105">
        <f>IFERROR(ROUND(G74*Settings!$C$5,4),"")</f>
        <v>0</v>
      </c>
      <c r="J74" s="105">
        <f t="shared" si="12"/>
        <v>0</v>
      </c>
      <c r="K74" s="97"/>
      <c r="L74" s="105">
        <f>IFERROR(ROUND(G74*Settings!$C$6,4),"")</f>
        <v>0</v>
      </c>
      <c r="M74" s="105">
        <f t="shared" si="13"/>
        <v>0</v>
      </c>
      <c r="N74" s="97"/>
      <c r="O74" s="97"/>
      <c r="P74" s="105">
        <f t="shared" si="14"/>
        <v>0</v>
      </c>
      <c r="Q74" s="97"/>
      <c r="R74" s="97"/>
      <c r="S74" s="97"/>
      <c r="T74" s="97"/>
      <c r="U74" s="97"/>
      <c r="V74" s="97"/>
      <c r="W74" s="97"/>
      <c r="X74" s="97"/>
      <c r="Y74" s="97"/>
      <c r="Z74" s="97"/>
      <c r="AA74" s="97"/>
      <c r="AB74" s="105">
        <f t="shared" si="15"/>
        <v>0</v>
      </c>
      <c r="AC74" s="105">
        <f t="shared" si="16"/>
        <v>0</v>
      </c>
      <c r="AD74" s="105">
        <f t="shared" si="17"/>
        <v>0</v>
      </c>
    </row>
    <row r="75" spans="1:30" ht="15" customHeight="1" x14ac:dyDescent="0.25">
      <c r="A75" s="96"/>
      <c r="B75" s="97"/>
      <c r="C75" s="97"/>
      <c r="D75" s="97"/>
      <c r="E75" s="105">
        <f>IFERROR(INDEX(Employees!$L:$L,SUMPRODUCT((Employees!$A$2:$A$102=C75)*(Employees!$C$2:$C$102=D75)*ROW(Employees!$A$2:$A$102))),"")</f>
        <v>0</v>
      </c>
      <c r="F75" s="97"/>
      <c r="G75" s="105">
        <f>IFERROR(INDEX(Employees!$M:$M,SUMPRODUCT((Employees!$A$2:$A$102=C75)*(Employees!$C$2:$C$102=D75)*ROW(Employees!$A$2:$A$102))),"")</f>
        <v>0</v>
      </c>
      <c r="H75" s="97"/>
      <c r="I75" s="105">
        <f>IFERROR(ROUND(G75*Settings!$C$5,4),"")</f>
        <v>0</v>
      </c>
      <c r="J75" s="105">
        <f t="shared" si="12"/>
        <v>0</v>
      </c>
      <c r="K75" s="97"/>
      <c r="L75" s="105">
        <f>IFERROR(ROUND(G75*Settings!$C$6,4),"")</f>
        <v>0</v>
      </c>
      <c r="M75" s="105">
        <f t="shared" si="13"/>
        <v>0</v>
      </c>
      <c r="N75" s="97"/>
      <c r="O75" s="97"/>
      <c r="P75" s="105">
        <f t="shared" si="14"/>
        <v>0</v>
      </c>
      <c r="Q75" s="97"/>
      <c r="R75" s="97"/>
      <c r="S75" s="97"/>
      <c r="T75" s="97"/>
      <c r="U75" s="97"/>
      <c r="V75" s="97"/>
      <c r="W75" s="97"/>
      <c r="X75" s="97"/>
      <c r="Y75" s="97"/>
      <c r="Z75" s="97"/>
      <c r="AA75" s="97"/>
      <c r="AB75" s="105">
        <f t="shared" si="15"/>
        <v>0</v>
      </c>
      <c r="AC75" s="105">
        <f t="shared" si="16"/>
        <v>0</v>
      </c>
      <c r="AD75" s="105">
        <f t="shared" si="17"/>
        <v>0</v>
      </c>
    </row>
    <row r="76" spans="1:30" ht="15" customHeight="1" x14ac:dyDescent="0.25">
      <c r="A76" s="96"/>
      <c r="B76" s="97"/>
      <c r="C76" s="97"/>
      <c r="D76" s="97"/>
      <c r="E76" s="105">
        <f>IFERROR(INDEX(Employees!$L:$L,SUMPRODUCT((Employees!$A$2:$A$102=C76)*(Employees!$C$2:$C$102=D76)*ROW(Employees!$A$2:$A$102))),"")</f>
        <v>0</v>
      </c>
      <c r="F76" s="97"/>
      <c r="G76" s="105">
        <f>IFERROR(INDEX(Employees!$M:$M,SUMPRODUCT((Employees!$A$2:$A$102=C76)*(Employees!$C$2:$C$102=D76)*ROW(Employees!$A$2:$A$102))),"")</f>
        <v>0</v>
      </c>
      <c r="H76" s="97"/>
      <c r="I76" s="105">
        <f>IFERROR(ROUND(G76*Settings!$C$5,4),"")</f>
        <v>0</v>
      </c>
      <c r="J76" s="105">
        <f t="shared" si="12"/>
        <v>0</v>
      </c>
      <c r="K76" s="97"/>
      <c r="L76" s="105">
        <f>IFERROR(ROUND(G76*Settings!$C$6,4),"")</f>
        <v>0</v>
      </c>
      <c r="M76" s="105">
        <f t="shared" si="13"/>
        <v>0</v>
      </c>
      <c r="N76" s="97"/>
      <c r="O76" s="97"/>
      <c r="P76" s="105">
        <f t="shared" si="14"/>
        <v>0</v>
      </c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  <c r="AB76" s="105">
        <f t="shared" si="15"/>
        <v>0</v>
      </c>
      <c r="AC76" s="105">
        <f t="shared" si="16"/>
        <v>0</v>
      </c>
      <c r="AD76" s="105">
        <f t="shared" si="17"/>
        <v>0</v>
      </c>
    </row>
    <row r="77" spans="1:30" ht="15" customHeight="1" x14ac:dyDescent="0.25">
      <c r="A77" s="96"/>
      <c r="B77" s="97"/>
      <c r="C77" s="97"/>
      <c r="D77" s="97"/>
      <c r="E77" s="105">
        <f>IFERROR(INDEX(Employees!$L:$L,SUMPRODUCT((Employees!$A$2:$A$102=C77)*(Employees!$C$2:$C$102=D77)*ROW(Employees!$A$2:$A$102))),"")</f>
        <v>0</v>
      </c>
      <c r="F77" s="97"/>
      <c r="G77" s="105">
        <f>IFERROR(INDEX(Employees!$M:$M,SUMPRODUCT((Employees!$A$2:$A$102=C77)*(Employees!$C$2:$C$102=D77)*ROW(Employees!$A$2:$A$102))),"")</f>
        <v>0</v>
      </c>
      <c r="H77" s="97"/>
      <c r="I77" s="105">
        <f>IFERROR(ROUND(G77*Settings!$C$5,4),"")</f>
        <v>0</v>
      </c>
      <c r="J77" s="105">
        <f t="shared" si="12"/>
        <v>0</v>
      </c>
      <c r="K77" s="97"/>
      <c r="L77" s="105">
        <f>IFERROR(ROUND(G77*Settings!$C$6,4),"")</f>
        <v>0</v>
      </c>
      <c r="M77" s="105">
        <f t="shared" si="13"/>
        <v>0</v>
      </c>
      <c r="N77" s="97"/>
      <c r="O77" s="97"/>
      <c r="P77" s="105">
        <f t="shared" si="14"/>
        <v>0</v>
      </c>
      <c r="Q77" s="97"/>
      <c r="R77" s="97"/>
      <c r="S77" s="97"/>
      <c r="T77" s="97"/>
      <c r="U77" s="97"/>
      <c r="V77" s="97"/>
      <c r="W77" s="97"/>
      <c r="X77" s="97"/>
      <c r="Y77" s="97"/>
      <c r="Z77" s="97"/>
      <c r="AA77" s="97"/>
      <c r="AB77" s="105">
        <f t="shared" si="15"/>
        <v>0</v>
      </c>
      <c r="AC77" s="105">
        <f t="shared" si="16"/>
        <v>0</v>
      </c>
      <c r="AD77" s="105">
        <f t="shared" si="17"/>
        <v>0</v>
      </c>
    </row>
    <row r="78" spans="1:30" ht="15" customHeight="1" x14ac:dyDescent="0.25">
      <c r="A78" s="96"/>
      <c r="B78" s="97"/>
      <c r="C78" s="97"/>
      <c r="D78" s="97"/>
      <c r="E78" s="105">
        <f>IFERROR(INDEX(Employees!$L:$L,SUMPRODUCT((Employees!$A$2:$A$102=C78)*(Employees!$C$2:$C$102=D78)*ROW(Employees!$A$2:$A$102))),"")</f>
        <v>0</v>
      </c>
      <c r="F78" s="97"/>
      <c r="G78" s="105">
        <f>IFERROR(INDEX(Employees!$M:$M,SUMPRODUCT((Employees!$A$2:$A$102=C78)*(Employees!$C$2:$C$102=D78)*ROW(Employees!$A$2:$A$102))),"")</f>
        <v>0</v>
      </c>
      <c r="H78" s="97"/>
      <c r="I78" s="105">
        <f>IFERROR(ROUND(G78*Settings!$C$5,4),"")</f>
        <v>0</v>
      </c>
      <c r="J78" s="105">
        <f t="shared" si="12"/>
        <v>0</v>
      </c>
      <c r="K78" s="97"/>
      <c r="L78" s="105">
        <f>IFERROR(ROUND(G78*Settings!$C$6,4),"")</f>
        <v>0</v>
      </c>
      <c r="M78" s="105">
        <f t="shared" si="13"/>
        <v>0</v>
      </c>
      <c r="N78" s="97"/>
      <c r="O78" s="97"/>
      <c r="P78" s="105">
        <f t="shared" si="14"/>
        <v>0</v>
      </c>
      <c r="Q78" s="97"/>
      <c r="R78" s="97"/>
      <c r="S78" s="97"/>
      <c r="T78" s="97"/>
      <c r="U78" s="97"/>
      <c r="V78" s="97"/>
      <c r="W78" s="97"/>
      <c r="X78" s="97"/>
      <c r="Y78" s="97"/>
      <c r="Z78" s="97"/>
      <c r="AA78" s="97"/>
      <c r="AB78" s="105">
        <f t="shared" si="15"/>
        <v>0</v>
      </c>
      <c r="AC78" s="105">
        <f t="shared" si="16"/>
        <v>0</v>
      </c>
      <c r="AD78" s="105">
        <f t="shared" si="17"/>
        <v>0</v>
      </c>
    </row>
    <row r="79" spans="1:30" ht="15" customHeight="1" x14ac:dyDescent="0.25">
      <c r="A79" s="96"/>
      <c r="B79" s="97"/>
      <c r="C79" s="97"/>
      <c r="D79" s="97"/>
      <c r="E79" s="105">
        <f>IFERROR(INDEX(Employees!$L:$L,SUMPRODUCT((Employees!$A$2:$A$102=C79)*(Employees!$C$2:$C$102=D79)*ROW(Employees!$A$2:$A$102))),"")</f>
        <v>0</v>
      </c>
      <c r="F79" s="97"/>
      <c r="G79" s="105">
        <f>IFERROR(INDEX(Employees!$M:$M,SUMPRODUCT((Employees!$A$2:$A$102=C79)*(Employees!$C$2:$C$102=D79)*ROW(Employees!$A$2:$A$102))),"")</f>
        <v>0</v>
      </c>
      <c r="H79" s="97"/>
      <c r="I79" s="105">
        <f>IFERROR(ROUND(G79*Settings!$C$5,4),"")</f>
        <v>0</v>
      </c>
      <c r="J79" s="105">
        <f t="shared" si="12"/>
        <v>0</v>
      </c>
      <c r="K79" s="97"/>
      <c r="L79" s="105">
        <f>IFERROR(ROUND(G79*Settings!$C$6,4),"")</f>
        <v>0</v>
      </c>
      <c r="M79" s="105">
        <f t="shared" si="13"/>
        <v>0</v>
      </c>
      <c r="N79" s="97"/>
      <c r="O79" s="97"/>
      <c r="P79" s="105">
        <f t="shared" si="14"/>
        <v>0</v>
      </c>
      <c r="Q79" s="97"/>
      <c r="R79" s="97"/>
      <c r="S79" s="97"/>
      <c r="T79" s="97"/>
      <c r="U79" s="97"/>
      <c r="V79" s="97"/>
      <c r="W79" s="97"/>
      <c r="X79" s="97"/>
      <c r="Y79" s="97"/>
      <c r="Z79" s="97"/>
      <c r="AA79" s="97"/>
      <c r="AB79" s="105">
        <f t="shared" si="15"/>
        <v>0</v>
      </c>
      <c r="AC79" s="105">
        <f t="shared" si="16"/>
        <v>0</v>
      </c>
      <c r="AD79" s="105">
        <f t="shared" si="17"/>
        <v>0</v>
      </c>
    </row>
    <row r="80" spans="1:30" ht="15" customHeight="1" x14ac:dyDescent="0.25">
      <c r="A80" s="96"/>
      <c r="B80" s="97"/>
      <c r="C80" s="97"/>
      <c r="D80" s="97"/>
      <c r="E80" s="105">
        <f>IFERROR(INDEX(Employees!$L:$L,SUMPRODUCT((Employees!$A$2:$A$102=C80)*(Employees!$C$2:$C$102=D80)*ROW(Employees!$A$2:$A$102))),"")</f>
        <v>0</v>
      </c>
      <c r="F80" s="97"/>
      <c r="G80" s="105">
        <f>IFERROR(INDEX(Employees!$M:$M,SUMPRODUCT((Employees!$A$2:$A$102=C80)*(Employees!$C$2:$C$102=D80)*ROW(Employees!$A$2:$A$102))),"")</f>
        <v>0</v>
      </c>
      <c r="H80" s="97"/>
      <c r="I80" s="105">
        <f>IFERROR(ROUND(G80*Settings!$C$5,4),"")</f>
        <v>0</v>
      </c>
      <c r="J80" s="105">
        <f t="shared" si="12"/>
        <v>0</v>
      </c>
      <c r="K80" s="97"/>
      <c r="L80" s="105">
        <f>IFERROR(ROUND(G80*Settings!$C$6,4),"")</f>
        <v>0</v>
      </c>
      <c r="M80" s="105">
        <f t="shared" si="13"/>
        <v>0</v>
      </c>
      <c r="N80" s="97"/>
      <c r="O80" s="97"/>
      <c r="P80" s="105">
        <f t="shared" si="14"/>
        <v>0</v>
      </c>
      <c r="Q80" s="97"/>
      <c r="R80" s="97"/>
      <c r="S80" s="97"/>
      <c r="T80" s="97"/>
      <c r="U80" s="97"/>
      <c r="V80" s="97"/>
      <c r="W80" s="97"/>
      <c r="X80" s="97"/>
      <c r="Y80" s="97"/>
      <c r="Z80" s="97"/>
      <c r="AA80" s="97"/>
      <c r="AB80" s="105">
        <f t="shared" si="15"/>
        <v>0</v>
      </c>
      <c r="AC80" s="105">
        <f t="shared" si="16"/>
        <v>0</v>
      </c>
      <c r="AD80" s="105">
        <f t="shared" si="17"/>
        <v>0</v>
      </c>
    </row>
    <row r="81" spans="1:30" ht="15" customHeight="1" x14ac:dyDescent="0.25">
      <c r="A81" s="96"/>
      <c r="B81" s="97"/>
      <c r="C81" s="97"/>
      <c r="D81" s="97"/>
      <c r="E81" s="105">
        <f>IFERROR(INDEX(Employees!$L:$L,SUMPRODUCT((Employees!$A$2:$A$102=C81)*(Employees!$C$2:$C$102=D81)*ROW(Employees!$A$2:$A$102))),"")</f>
        <v>0</v>
      </c>
      <c r="F81" s="97"/>
      <c r="G81" s="105">
        <f>IFERROR(INDEX(Employees!$M:$M,SUMPRODUCT((Employees!$A$2:$A$102=C81)*(Employees!$C$2:$C$102=D81)*ROW(Employees!$A$2:$A$102))),"")</f>
        <v>0</v>
      </c>
      <c r="H81" s="97"/>
      <c r="I81" s="105">
        <f>IFERROR(ROUND(G81*Settings!$C$5,4),"")</f>
        <v>0</v>
      </c>
      <c r="J81" s="105">
        <f t="shared" si="12"/>
        <v>0</v>
      </c>
      <c r="K81" s="97"/>
      <c r="L81" s="105">
        <f>IFERROR(ROUND(G81*Settings!$C$6,4),"")</f>
        <v>0</v>
      </c>
      <c r="M81" s="105">
        <f t="shared" si="13"/>
        <v>0</v>
      </c>
      <c r="N81" s="97"/>
      <c r="O81" s="97"/>
      <c r="P81" s="105">
        <f t="shared" si="14"/>
        <v>0</v>
      </c>
      <c r="Q81" s="97"/>
      <c r="R81" s="97"/>
      <c r="S81" s="97"/>
      <c r="T81" s="97"/>
      <c r="U81" s="97"/>
      <c r="V81" s="97"/>
      <c r="W81" s="97"/>
      <c r="X81" s="97"/>
      <c r="Y81" s="97"/>
      <c r="Z81" s="97"/>
      <c r="AA81" s="97"/>
      <c r="AB81" s="105">
        <f t="shared" si="15"/>
        <v>0</v>
      </c>
      <c r="AC81" s="105">
        <f t="shared" si="16"/>
        <v>0</v>
      </c>
      <c r="AD81" s="105">
        <f t="shared" si="17"/>
        <v>0</v>
      </c>
    </row>
    <row r="82" spans="1:30" ht="15" customHeight="1" x14ac:dyDescent="0.25">
      <c r="A82" s="96"/>
      <c r="B82" s="97"/>
      <c r="C82" s="97"/>
      <c r="D82" s="97"/>
      <c r="E82" s="105">
        <f>IFERROR(INDEX(Employees!$L:$L,SUMPRODUCT((Employees!$A$2:$A$102=C82)*(Employees!$C$2:$C$102=D82)*ROW(Employees!$A$2:$A$102))),"")</f>
        <v>0</v>
      </c>
      <c r="F82" s="97"/>
      <c r="G82" s="105">
        <f>IFERROR(INDEX(Employees!$M:$M,SUMPRODUCT((Employees!$A$2:$A$102=C82)*(Employees!$C$2:$C$102=D82)*ROW(Employees!$A$2:$A$102))),"")</f>
        <v>0</v>
      </c>
      <c r="H82" s="97"/>
      <c r="I82" s="105">
        <f>IFERROR(ROUND(G82*Settings!$C$5,4),"")</f>
        <v>0</v>
      </c>
      <c r="J82" s="105">
        <f t="shared" si="12"/>
        <v>0</v>
      </c>
      <c r="K82" s="97"/>
      <c r="L82" s="105">
        <f>IFERROR(ROUND(G82*Settings!$C$6,4),"")</f>
        <v>0</v>
      </c>
      <c r="M82" s="105">
        <f t="shared" si="13"/>
        <v>0</v>
      </c>
      <c r="N82" s="97"/>
      <c r="O82" s="97"/>
      <c r="P82" s="105">
        <f t="shared" si="14"/>
        <v>0</v>
      </c>
      <c r="Q82" s="97"/>
      <c r="R82" s="97"/>
      <c r="S82" s="97"/>
      <c r="T82" s="97"/>
      <c r="U82" s="97"/>
      <c r="V82" s="97"/>
      <c r="W82" s="97"/>
      <c r="X82" s="97"/>
      <c r="Y82" s="97"/>
      <c r="Z82" s="97"/>
      <c r="AA82" s="97"/>
      <c r="AB82" s="105">
        <f t="shared" si="15"/>
        <v>0</v>
      </c>
      <c r="AC82" s="105">
        <f t="shared" si="16"/>
        <v>0</v>
      </c>
      <c r="AD82" s="105">
        <f t="shared" si="17"/>
        <v>0</v>
      </c>
    </row>
    <row r="83" spans="1:30" ht="15" customHeight="1" x14ac:dyDescent="0.25">
      <c r="A83" s="96"/>
      <c r="B83" s="97"/>
      <c r="C83" s="97"/>
      <c r="D83" s="97"/>
      <c r="E83" s="105">
        <f>IFERROR(INDEX(Employees!$L:$L,SUMPRODUCT((Employees!$A$2:$A$102=C83)*(Employees!$C$2:$C$102=D83)*ROW(Employees!$A$2:$A$102))),"")</f>
        <v>0</v>
      </c>
      <c r="F83" s="97"/>
      <c r="G83" s="105">
        <f>IFERROR(INDEX(Employees!$M:$M,SUMPRODUCT((Employees!$A$2:$A$102=C83)*(Employees!$C$2:$C$102=D83)*ROW(Employees!$A$2:$A$102))),"")</f>
        <v>0</v>
      </c>
      <c r="H83" s="97"/>
      <c r="I83" s="105">
        <f>IFERROR(ROUND(G83*Settings!$C$5,4),"")</f>
        <v>0</v>
      </c>
      <c r="J83" s="105">
        <f t="shared" si="12"/>
        <v>0</v>
      </c>
      <c r="K83" s="97"/>
      <c r="L83" s="105">
        <f>IFERROR(ROUND(G83*Settings!$C$6,4),"")</f>
        <v>0</v>
      </c>
      <c r="M83" s="105">
        <f t="shared" si="13"/>
        <v>0</v>
      </c>
      <c r="N83" s="97"/>
      <c r="O83" s="97"/>
      <c r="P83" s="105">
        <f t="shared" si="14"/>
        <v>0</v>
      </c>
      <c r="Q83" s="97"/>
      <c r="R83" s="97"/>
      <c r="S83" s="97"/>
      <c r="T83" s="97"/>
      <c r="U83" s="97"/>
      <c r="V83" s="97"/>
      <c r="W83" s="97"/>
      <c r="X83" s="97"/>
      <c r="Y83" s="97"/>
      <c r="Z83" s="97"/>
      <c r="AA83" s="97"/>
      <c r="AB83" s="105">
        <f t="shared" si="15"/>
        <v>0</v>
      </c>
      <c r="AC83" s="105">
        <f t="shared" si="16"/>
        <v>0</v>
      </c>
      <c r="AD83" s="105">
        <f t="shared" si="17"/>
        <v>0</v>
      </c>
    </row>
    <row r="84" spans="1:30" ht="15" customHeight="1" x14ac:dyDescent="0.25">
      <c r="A84" s="96"/>
      <c r="B84" s="97"/>
      <c r="C84" s="97"/>
      <c r="D84" s="97"/>
      <c r="E84" s="105">
        <f>IFERROR(INDEX(Employees!$L:$L,SUMPRODUCT((Employees!$A$2:$A$102=C84)*(Employees!$C$2:$C$102=D84)*ROW(Employees!$A$2:$A$102))),"")</f>
        <v>0</v>
      </c>
      <c r="F84" s="97"/>
      <c r="G84" s="105">
        <f>IFERROR(INDEX(Employees!$M:$M,SUMPRODUCT((Employees!$A$2:$A$102=C84)*(Employees!$C$2:$C$102=D84)*ROW(Employees!$A$2:$A$102))),"")</f>
        <v>0</v>
      </c>
      <c r="H84" s="97"/>
      <c r="I84" s="105">
        <f>IFERROR(ROUND(G84*Settings!$C$5,4),"")</f>
        <v>0</v>
      </c>
      <c r="J84" s="105">
        <f t="shared" si="12"/>
        <v>0</v>
      </c>
      <c r="K84" s="97"/>
      <c r="L84" s="105">
        <f>IFERROR(ROUND(G84*Settings!$C$6,4),"")</f>
        <v>0</v>
      </c>
      <c r="M84" s="105">
        <f t="shared" si="13"/>
        <v>0</v>
      </c>
      <c r="N84" s="97"/>
      <c r="O84" s="97"/>
      <c r="P84" s="105">
        <f t="shared" si="14"/>
        <v>0</v>
      </c>
      <c r="Q84" s="97"/>
      <c r="R84" s="97"/>
      <c r="S84" s="97"/>
      <c r="T84" s="97"/>
      <c r="U84" s="97"/>
      <c r="V84" s="97"/>
      <c r="W84" s="97"/>
      <c r="X84" s="97"/>
      <c r="Y84" s="97"/>
      <c r="Z84" s="97"/>
      <c r="AA84" s="97"/>
      <c r="AB84" s="105">
        <f t="shared" si="15"/>
        <v>0</v>
      </c>
      <c r="AC84" s="105">
        <f t="shared" si="16"/>
        <v>0</v>
      </c>
      <c r="AD84" s="105">
        <f t="shared" si="17"/>
        <v>0</v>
      </c>
    </row>
    <row r="85" spans="1:30" ht="15" customHeight="1" x14ac:dyDescent="0.25">
      <c r="A85" s="96"/>
      <c r="B85" s="97"/>
      <c r="C85" s="97"/>
      <c r="D85" s="97"/>
      <c r="E85" s="105">
        <f>IFERROR(INDEX(Employees!$L:$L,SUMPRODUCT((Employees!$A$2:$A$102=C85)*(Employees!$C$2:$C$102=D85)*ROW(Employees!$A$2:$A$102))),"")</f>
        <v>0</v>
      </c>
      <c r="F85" s="97"/>
      <c r="G85" s="105">
        <f>IFERROR(INDEX(Employees!$M:$M,SUMPRODUCT((Employees!$A$2:$A$102=C85)*(Employees!$C$2:$C$102=D85)*ROW(Employees!$A$2:$A$102))),"")</f>
        <v>0</v>
      </c>
      <c r="H85" s="97"/>
      <c r="I85" s="105">
        <f>IFERROR(ROUND(G85*Settings!$C$5,4),"")</f>
        <v>0</v>
      </c>
      <c r="J85" s="105">
        <f t="shared" si="12"/>
        <v>0</v>
      </c>
      <c r="K85" s="97"/>
      <c r="L85" s="105">
        <f>IFERROR(ROUND(G85*Settings!$C$6,4),"")</f>
        <v>0</v>
      </c>
      <c r="M85" s="105">
        <f t="shared" si="13"/>
        <v>0</v>
      </c>
      <c r="N85" s="97"/>
      <c r="O85" s="97"/>
      <c r="P85" s="105">
        <f t="shared" si="14"/>
        <v>0</v>
      </c>
      <c r="Q85" s="97"/>
      <c r="R85" s="97"/>
      <c r="S85" s="97"/>
      <c r="T85" s="97"/>
      <c r="U85" s="97"/>
      <c r="V85" s="97"/>
      <c r="W85" s="97"/>
      <c r="X85" s="97"/>
      <c r="Y85" s="97"/>
      <c r="Z85" s="97"/>
      <c r="AA85" s="97"/>
      <c r="AB85" s="105">
        <f t="shared" si="15"/>
        <v>0</v>
      </c>
      <c r="AC85" s="105">
        <f t="shared" si="16"/>
        <v>0</v>
      </c>
      <c r="AD85" s="105">
        <f t="shared" si="17"/>
        <v>0</v>
      </c>
    </row>
    <row r="86" spans="1:30" ht="15" customHeight="1" x14ac:dyDescent="0.25">
      <c r="A86" s="96"/>
      <c r="B86" s="97"/>
      <c r="C86" s="97"/>
      <c r="D86" s="97"/>
      <c r="E86" s="105">
        <f>IFERROR(INDEX(Employees!$L:$L,SUMPRODUCT((Employees!$A$2:$A$102=C86)*(Employees!$C$2:$C$102=D86)*ROW(Employees!$A$2:$A$102))),"")</f>
        <v>0</v>
      </c>
      <c r="F86" s="97"/>
      <c r="G86" s="105">
        <f>IFERROR(INDEX(Employees!$M:$M,SUMPRODUCT((Employees!$A$2:$A$102=C86)*(Employees!$C$2:$C$102=D86)*ROW(Employees!$A$2:$A$102))),"")</f>
        <v>0</v>
      </c>
      <c r="H86" s="97"/>
      <c r="I86" s="105">
        <f>IFERROR(ROUND(G86*Settings!$C$5,4),"")</f>
        <v>0</v>
      </c>
      <c r="J86" s="105">
        <f t="shared" si="12"/>
        <v>0</v>
      </c>
      <c r="K86" s="97"/>
      <c r="L86" s="105">
        <f>IFERROR(ROUND(G86*Settings!$C$6,4),"")</f>
        <v>0</v>
      </c>
      <c r="M86" s="105">
        <f t="shared" si="13"/>
        <v>0</v>
      </c>
      <c r="N86" s="97"/>
      <c r="O86" s="97"/>
      <c r="P86" s="105">
        <f t="shared" si="14"/>
        <v>0</v>
      </c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105">
        <f t="shared" si="15"/>
        <v>0</v>
      </c>
      <c r="AC86" s="105">
        <f t="shared" si="16"/>
        <v>0</v>
      </c>
      <c r="AD86" s="105">
        <f t="shared" si="17"/>
        <v>0</v>
      </c>
    </row>
    <row r="87" spans="1:30" ht="15" customHeight="1" x14ac:dyDescent="0.25">
      <c r="A87" s="96"/>
      <c r="B87" s="97"/>
      <c r="C87" s="97"/>
      <c r="D87" s="97"/>
      <c r="E87" s="105">
        <f>IFERROR(INDEX(Employees!$L:$L,SUMPRODUCT((Employees!$A$2:$A$102=C87)*(Employees!$C$2:$C$102=D87)*ROW(Employees!$A$2:$A$102))),"")</f>
        <v>0</v>
      </c>
      <c r="F87" s="97"/>
      <c r="G87" s="105">
        <f>IFERROR(INDEX(Employees!$M:$M,SUMPRODUCT((Employees!$A$2:$A$102=C87)*(Employees!$C$2:$C$102=D87)*ROW(Employees!$A$2:$A$102))),"")</f>
        <v>0</v>
      </c>
      <c r="H87" s="97"/>
      <c r="I87" s="105">
        <f>IFERROR(ROUND(G87*Settings!$C$5,4),"")</f>
        <v>0</v>
      </c>
      <c r="J87" s="105">
        <f t="shared" si="12"/>
        <v>0</v>
      </c>
      <c r="K87" s="97"/>
      <c r="L87" s="105">
        <f>IFERROR(ROUND(G87*Settings!$C$6,4),"")</f>
        <v>0</v>
      </c>
      <c r="M87" s="105">
        <f t="shared" si="13"/>
        <v>0</v>
      </c>
      <c r="N87" s="97"/>
      <c r="O87" s="97"/>
      <c r="P87" s="105">
        <f t="shared" si="14"/>
        <v>0</v>
      </c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105">
        <f t="shared" si="15"/>
        <v>0</v>
      </c>
      <c r="AC87" s="105">
        <f t="shared" si="16"/>
        <v>0</v>
      </c>
      <c r="AD87" s="105">
        <f t="shared" si="17"/>
        <v>0</v>
      </c>
    </row>
    <row r="88" spans="1:30" ht="15" customHeight="1" x14ac:dyDescent="0.25">
      <c r="A88" s="96"/>
      <c r="B88" s="97"/>
      <c r="C88" s="97"/>
      <c r="D88" s="97"/>
      <c r="E88" s="105">
        <f>IFERROR(INDEX(Employees!$L:$L,SUMPRODUCT((Employees!$A$2:$A$102=C88)*(Employees!$C$2:$C$102=D88)*ROW(Employees!$A$2:$A$102))),"")</f>
        <v>0</v>
      </c>
      <c r="F88" s="97"/>
      <c r="G88" s="105">
        <f>IFERROR(INDEX(Employees!$M:$M,SUMPRODUCT((Employees!$A$2:$A$102=C88)*(Employees!$C$2:$C$102=D88)*ROW(Employees!$A$2:$A$102))),"")</f>
        <v>0</v>
      </c>
      <c r="H88" s="97"/>
      <c r="I88" s="105">
        <f>IFERROR(ROUND(G88*Settings!$C$5,4),"")</f>
        <v>0</v>
      </c>
      <c r="J88" s="105">
        <f t="shared" si="12"/>
        <v>0</v>
      </c>
      <c r="K88" s="97"/>
      <c r="L88" s="105">
        <f>IFERROR(ROUND(G88*Settings!$C$6,4),"")</f>
        <v>0</v>
      </c>
      <c r="M88" s="105">
        <f t="shared" si="13"/>
        <v>0</v>
      </c>
      <c r="N88" s="97"/>
      <c r="O88" s="97"/>
      <c r="P88" s="105">
        <f t="shared" si="14"/>
        <v>0</v>
      </c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105">
        <f t="shared" si="15"/>
        <v>0</v>
      </c>
      <c r="AC88" s="105">
        <f t="shared" si="16"/>
        <v>0</v>
      </c>
      <c r="AD88" s="105">
        <f t="shared" si="17"/>
        <v>0</v>
      </c>
    </row>
    <row r="89" spans="1:30" ht="15" customHeight="1" x14ac:dyDescent="0.25">
      <c r="A89" s="96"/>
      <c r="B89" s="97"/>
      <c r="C89" s="97"/>
      <c r="D89" s="97"/>
      <c r="E89" s="105">
        <f>IFERROR(INDEX(Employees!$L:$L,SUMPRODUCT((Employees!$A$2:$A$102=C89)*(Employees!$C$2:$C$102=D89)*ROW(Employees!$A$2:$A$102))),"")</f>
        <v>0</v>
      </c>
      <c r="F89" s="97"/>
      <c r="G89" s="105">
        <f>IFERROR(INDEX(Employees!$M:$M,SUMPRODUCT((Employees!$A$2:$A$102=C89)*(Employees!$C$2:$C$102=D89)*ROW(Employees!$A$2:$A$102))),"")</f>
        <v>0</v>
      </c>
      <c r="H89" s="97"/>
      <c r="I89" s="105">
        <f>IFERROR(ROUND(G89*Settings!$C$5,4),"")</f>
        <v>0</v>
      </c>
      <c r="J89" s="105">
        <f t="shared" si="12"/>
        <v>0</v>
      </c>
      <c r="K89" s="97"/>
      <c r="L89" s="105">
        <f>IFERROR(ROUND(G89*Settings!$C$6,4),"")</f>
        <v>0</v>
      </c>
      <c r="M89" s="105">
        <f t="shared" si="13"/>
        <v>0</v>
      </c>
      <c r="N89" s="97"/>
      <c r="O89" s="97"/>
      <c r="P89" s="105">
        <f t="shared" si="14"/>
        <v>0</v>
      </c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105">
        <f t="shared" si="15"/>
        <v>0</v>
      </c>
      <c r="AC89" s="105">
        <f t="shared" si="16"/>
        <v>0</v>
      </c>
      <c r="AD89" s="105">
        <f t="shared" si="17"/>
        <v>0</v>
      </c>
    </row>
    <row r="90" spans="1:30" ht="15" customHeight="1" x14ac:dyDescent="0.25">
      <c r="A90" s="96"/>
      <c r="B90" s="97"/>
      <c r="C90" s="97"/>
      <c r="D90" s="97"/>
      <c r="E90" s="105">
        <f>IFERROR(INDEX(Employees!$L:$L,SUMPRODUCT((Employees!$A$2:$A$102=C90)*(Employees!$C$2:$C$102=D90)*ROW(Employees!$A$2:$A$102))),"")</f>
        <v>0</v>
      </c>
      <c r="F90" s="97"/>
      <c r="G90" s="105">
        <f>IFERROR(INDEX(Employees!$M:$M,SUMPRODUCT((Employees!$A$2:$A$102=C90)*(Employees!$C$2:$C$102=D90)*ROW(Employees!$A$2:$A$102))),"")</f>
        <v>0</v>
      </c>
      <c r="H90" s="97"/>
      <c r="I90" s="105">
        <f>IFERROR(ROUND(G90*Settings!$C$5,4),"")</f>
        <v>0</v>
      </c>
      <c r="J90" s="105">
        <f t="shared" si="12"/>
        <v>0</v>
      </c>
      <c r="K90" s="97"/>
      <c r="L90" s="105">
        <f>IFERROR(ROUND(G90*Settings!$C$6,4),"")</f>
        <v>0</v>
      </c>
      <c r="M90" s="105">
        <f t="shared" si="13"/>
        <v>0</v>
      </c>
      <c r="N90" s="97"/>
      <c r="O90" s="97"/>
      <c r="P90" s="105">
        <f t="shared" si="14"/>
        <v>0</v>
      </c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105">
        <f t="shared" si="15"/>
        <v>0</v>
      </c>
      <c r="AC90" s="105">
        <f t="shared" si="16"/>
        <v>0</v>
      </c>
      <c r="AD90" s="105">
        <f t="shared" si="17"/>
        <v>0</v>
      </c>
    </row>
    <row r="91" spans="1:30" ht="15" customHeight="1" x14ac:dyDescent="0.25">
      <c r="A91" s="96"/>
      <c r="B91" s="97"/>
      <c r="C91" s="97"/>
      <c r="D91" s="97"/>
      <c r="E91" s="105">
        <f>IFERROR(INDEX(Employees!$L:$L,SUMPRODUCT((Employees!$A$2:$A$102=C91)*(Employees!$C$2:$C$102=D91)*ROW(Employees!$A$2:$A$102))),"")</f>
        <v>0</v>
      </c>
      <c r="F91" s="97"/>
      <c r="G91" s="105">
        <f>IFERROR(INDEX(Employees!$M:$M,SUMPRODUCT((Employees!$A$2:$A$102=C91)*(Employees!$C$2:$C$102=D91)*ROW(Employees!$A$2:$A$102))),"")</f>
        <v>0</v>
      </c>
      <c r="H91" s="97"/>
      <c r="I91" s="105">
        <f>IFERROR(ROUND(G91*Settings!$C$5,4),"")</f>
        <v>0</v>
      </c>
      <c r="J91" s="105">
        <f t="shared" si="12"/>
        <v>0</v>
      </c>
      <c r="K91" s="97"/>
      <c r="L91" s="105">
        <f>IFERROR(ROUND(G91*Settings!$C$6,4),"")</f>
        <v>0</v>
      </c>
      <c r="M91" s="105">
        <f t="shared" si="13"/>
        <v>0</v>
      </c>
      <c r="N91" s="97"/>
      <c r="O91" s="97"/>
      <c r="P91" s="105">
        <f t="shared" si="14"/>
        <v>0</v>
      </c>
      <c r="Q91" s="97"/>
      <c r="R91" s="97"/>
      <c r="S91" s="97"/>
      <c r="T91" s="97"/>
      <c r="U91" s="97"/>
      <c r="V91" s="97"/>
      <c r="W91" s="97"/>
      <c r="X91" s="97"/>
      <c r="Y91" s="97"/>
      <c r="Z91" s="97"/>
      <c r="AA91" s="97"/>
      <c r="AB91" s="105">
        <f t="shared" si="15"/>
        <v>0</v>
      </c>
      <c r="AC91" s="105">
        <f t="shared" si="16"/>
        <v>0</v>
      </c>
      <c r="AD91" s="105">
        <f t="shared" si="17"/>
        <v>0</v>
      </c>
    </row>
    <row r="92" spans="1:30" ht="15" customHeight="1" x14ac:dyDescent="0.25">
      <c r="A92" s="96"/>
      <c r="B92" s="97"/>
      <c r="C92" s="97"/>
      <c r="D92" s="97"/>
      <c r="E92" s="105">
        <f>IFERROR(INDEX(Employees!$L:$L,SUMPRODUCT((Employees!$A$2:$A$102=C92)*(Employees!$C$2:$C$102=D92)*ROW(Employees!$A$2:$A$102))),"")</f>
        <v>0</v>
      </c>
      <c r="F92" s="97"/>
      <c r="G92" s="105">
        <f>IFERROR(INDEX(Employees!$M:$M,SUMPRODUCT((Employees!$A$2:$A$102=C92)*(Employees!$C$2:$C$102=D92)*ROW(Employees!$A$2:$A$102))),"")</f>
        <v>0</v>
      </c>
      <c r="H92" s="97"/>
      <c r="I92" s="105">
        <f>IFERROR(ROUND(G92*Settings!$C$5,4),"")</f>
        <v>0</v>
      </c>
      <c r="J92" s="105">
        <f t="shared" si="12"/>
        <v>0</v>
      </c>
      <c r="K92" s="97"/>
      <c r="L92" s="105">
        <f>IFERROR(ROUND(G92*Settings!$C$6,4),"")</f>
        <v>0</v>
      </c>
      <c r="M92" s="105">
        <f t="shared" si="13"/>
        <v>0</v>
      </c>
      <c r="N92" s="97"/>
      <c r="O92" s="97"/>
      <c r="P92" s="105">
        <f t="shared" si="14"/>
        <v>0</v>
      </c>
      <c r="Q92" s="97"/>
      <c r="R92" s="97"/>
      <c r="S92" s="97"/>
      <c r="T92" s="97"/>
      <c r="U92" s="97"/>
      <c r="V92" s="97"/>
      <c r="W92" s="97"/>
      <c r="X92" s="97"/>
      <c r="Y92" s="97"/>
      <c r="Z92" s="97"/>
      <c r="AA92" s="97"/>
      <c r="AB92" s="105">
        <f t="shared" si="15"/>
        <v>0</v>
      </c>
      <c r="AC92" s="105">
        <f t="shared" si="16"/>
        <v>0</v>
      </c>
      <c r="AD92" s="105">
        <f t="shared" si="17"/>
        <v>0</v>
      </c>
    </row>
    <row r="93" spans="1:30" ht="15" customHeight="1" x14ac:dyDescent="0.25">
      <c r="A93" s="96"/>
      <c r="B93" s="97"/>
      <c r="C93" s="97"/>
      <c r="D93" s="97"/>
      <c r="E93" s="105">
        <f>IFERROR(INDEX(Employees!$L:$L,SUMPRODUCT((Employees!$A$2:$A$102=C93)*(Employees!$C$2:$C$102=D93)*ROW(Employees!$A$2:$A$102))),"")</f>
        <v>0</v>
      </c>
      <c r="F93" s="97"/>
      <c r="G93" s="105">
        <f>IFERROR(INDEX(Employees!$M:$M,SUMPRODUCT((Employees!$A$2:$A$102=C93)*(Employees!$C$2:$C$102=D93)*ROW(Employees!$A$2:$A$102))),"")</f>
        <v>0</v>
      </c>
      <c r="H93" s="97"/>
      <c r="I93" s="105">
        <f>IFERROR(ROUND(G93*Settings!$C$5,4),"")</f>
        <v>0</v>
      </c>
      <c r="J93" s="105">
        <f t="shared" si="12"/>
        <v>0</v>
      </c>
      <c r="K93" s="97"/>
      <c r="L93" s="105">
        <f>IFERROR(ROUND(G93*Settings!$C$6,4),"")</f>
        <v>0</v>
      </c>
      <c r="M93" s="105">
        <f t="shared" si="13"/>
        <v>0</v>
      </c>
      <c r="N93" s="97"/>
      <c r="O93" s="97"/>
      <c r="P93" s="105">
        <f t="shared" si="14"/>
        <v>0</v>
      </c>
      <c r="Q93" s="97"/>
      <c r="R93" s="97"/>
      <c r="S93" s="97"/>
      <c r="T93" s="97"/>
      <c r="U93" s="97"/>
      <c r="V93" s="97"/>
      <c r="W93" s="97"/>
      <c r="X93" s="97"/>
      <c r="Y93" s="97"/>
      <c r="Z93" s="97"/>
      <c r="AA93" s="97"/>
      <c r="AB93" s="105">
        <f t="shared" si="15"/>
        <v>0</v>
      </c>
      <c r="AC93" s="105">
        <f t="shared" si="16"/>
        <v>0</v>
      </c>
      <c r="AD93" s="105">
        <f t="shared" si="17"/>
        <v>0</v>
      </c>
    </row>
    <row r="94" spans="1:30" ht="15" customHeight="1" x14ac:dyDescent="0.25">
      <c r="A94" s="96"/>
      <c r="B94" s="97"/>
      <c r="C94" s="97"/>
      <c r="D94" s="97"/>
      <c r="E94" s="105">
        <f>IFERROR(INDEX(Employees!$L:$L,SUMPRODUCT((Employees!$A$2:$A$102=C94)*(Employees!$C$2:$C$102=D94)*ROW(Employees!$A$2:$A$102))),"")</f>
        <v>0</v>
      </c>
      <c r="F94" s="97"/>
      <c r="G94" s="105">
        <f>IFERROR(INDEX(Employees!$M:$M,SUMPRODUCT((Employees!$A$2:$A$102=C94)*(Employees!$C$2:$C$102=D94)*ROW(Employees!$A$2:$A$102))),"")</f>
        <v>0</v>
      </c>
      <c r="H94" s="97"/>
      <c r="I94" s="105">
        <f>IFERROR(ROUND(G94*Settings!$C$5,4),"")</f>
        <v>0</v>
      </c>
      <c r="J94" s="105">
        <f t="shared" si="12"/>
        <v>0</v>
      </c>
      <c r="K94" s="97"/>
      <c r="L94" s="105">
        <f>IFERROR(ROUND(G94*Settings!$C$6,4),"")</f>
        <v>0</v>
      </c>
      <c r="M94" s="105">
        <f t="shared" si="13"/>
        <v>0</v>
      </c>
      <c r="N94" s="97"/>
      <c r="O94" s="97"/>
      <c r="P94" s="105">
        <f t="shared" si="14"/>
        <v>0</v>
      </c>
      <c r="Q94" s="97"/>
      <c r="R94" s="97"/>
      <c r="S94" s="97"/>
      <c r="T94" s="97"/>
      <c r="U94" s="97"/>
      <c r="V94" s="97"/>
      <c r="W94" s="97"/>
      <c r="X94" s="97"/>
      <c r="Y94" s="97"/>
      <c r="Z94" s="97"/>
      <c r="AA94" s="97"/>
      <c r="AB94" s="105">
        <f t="shared" si="15"/>
        <v>0</v>
      </c>
      <c r="AC94" s="105">
        <f t="shared" si="16"/>
        <v>0</v>
      </c>
      <c r="AD94" s="105">
        <f t="shared" si="17"/>
        <v>0</v>
      </c>
    </row>
    <row r="95" spans="1:30" ht="15" customHeight="1" x14ac:dyDescent="0.25">
      <c r="A95" s="96"/>
      <c r="B95" s="97"/>
      <c r="C95" s="97"/>
      <c r="D95" s="97"/>
      <c r="E95" s="105">
        <f>IFERROR(INDEX(Employees!$L:$L,SUMPRODUCT((Employees!$A$2:$A$102=C95)*(Employees!$C$2:$C$102=D95)*ROW(Employees!$A$2:$A$102))),"")</f>
        <v>0</v>
      </c>
      <c r="F95" s="97"/>
      <c r="G95" s="105">
        <f>IFERROR(INDEX(Employees!$M:$M,SUMPRODUCT((Employees!$A$2:$A$102=C95)*(Employees!$C$2:$C$102=D95)*ROW(Employees!$A$2:$A$102))),"")</f>
        <v>0</v>
      </c>
      <c r="H95" s="97"/>
      <c r="I95" s="105">
        <f>IFERROR(ROUND(G95*Settings!$C$5,4),"")</f>
        <v>0</v>
      </c>
      <c r="J95" s="105">
        <f t="shared" si="12"/>
        <v>0</v>
      </c>
      <c r="K95" s="97"/>
      <c r="L95" s="105">
        <f>IFERROR(ROUND(G95*Settings!$C$6,4),"")</f>
        <v>0</v>
      </c>
      <c r="M95" s="105">
        <f t="shared" si="13"/>
        <v>0</v>
      </c>
      <c r="N95" s="97"/>
      <c r="O95" s="97"/>
      <c r="P95" s="105">
        <f t="shared" si="14"/>
        <v>0</v>
      </c>
      <c r="Q95" s="97"/>
      <c r="R95" s="97"/>
      <c r="S95" s="97"/>
      <c r="T95" s="97"/>
      <c r="U95" s="97"/>
      <c r="V95" s="97"/>
      <c r="W95" s="97"/>
      <c r="X95" s="97"/>
      <c r="Y95" s="97"/>
      <c r="Z95" s="97"/>
      <c r="AA95" s="97"/>
      <c r="AB95" s="105">
        <f t="shared" si="15"/>
        <v>0</v>
      </c>
      <c r="AC95" s="105">
        <f t="shared" si="16"/>
        <v>0</v>
      </c>
      <c r="AD95" s="105">
        <f t="shared" si="17"/>
        <v>0</v>
      </c>
    </row>
    <row r="96" spans="1:30" ht="15" customHeight="1" x14ac:dyDescent="0.25">
      <c r="A96" s="96"/>
      <c r="B96" s="97"/>
      <c r="C96" s="97"/>
      <c r="D96" s="97"/>
      <c r="E96" s="105">
        <f>IFERROR(INDEX(Employees!$L:$L,SUMPRODUCT((Employees!$A$2:$A$102=C96)*(Employees!$C$2:$C$102=D96)*ROW(Employees!$A$2:$A$102))),"")</f>
        <v>0</v>
      </c>
      <c r="F96" s="97"/>
      <c r="G96" s="105">
        <f>IFERROR(INDEX(Employees!$M:$M,SUMPRODUCT((Employees!$A$2:$A$102=C96)*(Employees!$C$2:$C$102=D96)*ROW(Employees!$A$2:$A$102))),"")</f>
        <v>0</v>
      </c>
      <c r="H96" s="97"/>
      <c r="I96" s="105">
        <f>IFERROR(ROUND(G96*Settings!$C$5,4),"")</f>
        <v>0</v>
      </c>
      <c r="J96" s="105">
        <f t="shared" si="12"/>
        <v>0</v>
      </c>
      <c r="K96" s="97"/>
      <c r="L96" s="105">
        <f>IFERROR(ROUND(G96*Settings!$C$6,4),"")</f>
        <v>0</v>
      </c>
      <c r="M96" s="105">
        <f t="shared" si="13"/>
        <v>0</v>
      </c>
      <c r="N96" s="97"/>
      <c r="O96" s="97"/>
      <c r="P96" s="105">
        <f t="shared" si="14"/>
        <v>0</v>
      </c>
      <c r="Q96" s="97"/>
      <c r="R96" s="97"/>
      <c r="S96" s="97"/>
      <c r="T96" s="97"/>
      <c r="U96" s="97"/>
      <c r="V96" s="97"/>
      <c r="W96" s="97"/>
      <c r="X96" s="97"/>
      <c r="Y96" s="97"/>
      <c r="Z96" s="97"/>
      <c r="AA96" s="97"/>
      <c r="AB96" s="105">
        <f t="shared" si="15"/>
        <v>0</v>
      </c>
      <c r="AC96" s="105">
        <f t="shared" si="16"/>
        <v>0</v>
      </c>
      <c r="AD96" s="105">
        <f t="shared" si="17"/>
        <v>0</v>
      </c>
    </row>
    <row r="97" spans="1:30" ht="15" customHeight="1" x14ac:dyDescent="0.25">
      <c r="A97" s="96"/>
      <c r="B97" s="97"/>
      <c r="C97" s="97"/>
      <c r="D97" s="97"/>
      <c r="E97" s="105">
        <f>IFERROR(INDEX(Employees!$L:$L,SUMPRODUCT((Employees!$A$2:$A$102=C97)*(Employees!$C$2:$C$102=D97)*ROW(Employees!$A$2:$A$102))),"")</f>
        <v>0</v>
      </c>
      <c r="F97" s="97"/>
      <c r="G97" s="105">
        <f>IFERROR(INDEX(Employees!$M:$M,SUMPRODUCT((Employees!$A$2:$A$102=C97)*(Employees!$C$2:$C$102=D97)*ROW(Employees!$A$2:$A$102))),"")</f>
        <v>0</v>
      </c>
      <c r="H97" s="97"/>
      <c r="I97" s="105">
        <f>IFERROR(ROUND(G97*Settings!$C$5,4),"")</f>
        <v>0</v>
      </c>
      <c r="J97" s="105">
        <f t="shared" si="12"/>
        <v>0</v>
      </c>
      <c r="K97" s="97"/>
      <c r="L97" s="105">
        <f>IFERROR(ROUND(G97*Settings!$C$6,4),"")</f>
        <v>0</v>
      </c>
      <c r="M97" s="105">
        <f t="shared" si="13"/>
        <v>0</v>
      </c>
      <c r="N97" s="97"/>
      <c r="O97" s="97"/>
      <c r="P97" s="105">
        <f t="shared" si="14"/>
        <v>0</v>
      </c>
      <c r="Q97" s="97"/>
      <c r="R97" s="97"/>
      <c r="S97" s="97"/>
      <c r="T97" s="97"/>
      <c r="U97" s="97"/>
      <c r="V97" s="97"/>
      <c r="W97" s="97"/>
      <c r="X97" s="97"/>
      <c r="Y97" s="97"/>
      <c r="Z97" s="97"/>
      <c r="AA97" s="97"/>
      <c r="AB97" s="105">
        <f t="shared" si="15"/>
        <v>0</v>
      </c>
      <c r="AC97" s="105">
        <f t="shared" si="16"/>
        <v>0</v>
      </c>
      <c r="AD97" s="105">
        <f t="shared" si="17"/>
        <v>0</v>
      </c>
    </row>
    <row r="98" spans="1:30" ht="15" customHeight="1" x14ac:dyDescent="0.25">
      <c r="A98" s="96"/>
      <c r="B98" s="97"/>
      <c r="C98" s="97"/>
      <c r="D98" s="97"/>
      <c r="E98" s="105">
        <f>IFERROR(INDEX(Employees!$L:$L,SUMPRODUCT((Employees!$A$2:$A$102=C98)*(Employees!$C$2:$C$102=D98)*ROW(Employees!$A$2:$A$102))),"")</f>
        <v>0</v>
      </c>
      <c r="F98" s="97"/>
      <c r="G98" s="105">
        <f>IFERROR(INDEX(Employees!$M:$M,SUMPRODUCT((Employees!$A$2:$A$102=C98)*(Employees!$C$2:$C$102=D98)*ROW(Employees!$A$2:$A$102))),"")</f>
        <v>0</v>
      </c>
      <c r="H98" s="97"/>
      <c r="I98" s="105">
        <f>IFERROR(ROUND(G98*Settings!$C$5,4),"")</f>
        <v>0</v>
      </c>
      <c r="J98" s="105">
        <f t="shared" ref="J98:J129" si="18">IFERROR(ROUND(H98*I98,2),"")</f>
        <v>0</v>
      </c>
      <c r="K98" s="97"/>
      <c r="L98" s="105">
        <f>IFERROR(ROUND(G98*Settings!$C$6,4),"")</f>
        <v>0</v>
      </c>
      <c r="M98" s="105">
        <f t="shared" ref="M98:M129" si="19">IFERROR(ROUND(K98*L98,2),0)</f>
        <v>0</v>
      </c>
      <c r="N98" s="97"/>
      <c r="O98" s="97"/>
      <c r="P98" s="105">
        <f t="shared" ref="P98:P129" si="20">IFERROR(ROUND(N98*O98,2),"")</f>
        <v>0</v>
      </c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  <c r="AB98" s="105">
        <f t="shared" si="15"/>
        <v>0</v>
      </c>
      <c r="AC98" s="105">
        <f t="shared" si="16"/>
        <v>0</v>
      </c>
      <c r="AD98" s="105">
        <f t="shared" ref="AD98:AD129" si="21">AB98-AC98</f>
        <v>0</v>
      </c>
    </row>
    <row r="99" spans="1:30" ht="15" customHeight="1" x14ac:dyDescent="0.25">
      <c r="A99" s="96"/>
      <c r="B99" s="97"/>
      <c r="C99" s="97"/>
      <c r="D99" s="97"/>
      <c r="E99" s="105">
        <f>IFERROR(INDEX(Employees!$L:$L,SUMPRODUCT((Employees!$A$2:$A$102=C99)*(Employees!$C$2:$C$102=D99)*ROW(Employees!$A$2:$A$102))),"")</f>
        <v>0</v>
      </c>
      <c r="F99" s="97"/>
      <c r="G99" s="105">
        <f>IFERROR(INDEX(Employees!$M:$M,SUMPRODUCT((Employees!$A$2:$A$102=C99)*(Employees!$C$2:$C$102=D99)*ROW(Employees!$A$2:$A$102))),"")</f>
        <v>0</v>
      </c>
      <c r="H99" s="97"/>
      <c r="I99" s="105">
        <f>IFERROR(ROUND(G99*Settings!$C$5,4),"")</f>
        <v>0</v>
      </c>
      <c r="J99" s="105">
        <f t="shared" si="18"/>
        <v>0</v>
      </c>
      <c r="K99" s="97"/>
      <c r="L99" s="105">
        <f>IFERROR(ROUND(G99*Settings!$C$6,4),"")</f>
        <v>0</v>
      </c>
      <c r="M99" s="105">
        <f t="shared" si="19"/>
        <v>0</v>
      </c>
      <c r="N99" s="97"/>
      <c r="O99" s="97"/>
      <c r="P99" s="105">
        <f t="shared" si="20"/>
        <v>0</v>
      </c>
      <c r="Q99" s="97"/>
      <c r="R99" s="97"/>
      <c r="S99" s="97"/>
      <c r="T99" s="97"/>
      <c r="U99" s="97"/>
      <c r="V99" s="97"/>
      <c r="W99" s="97"/>
      <c r="X99" s="97"/>
      <c r="Y99" s="97"/>
      <c r="Z99" s="97"/>
      <c r="AA99" s="97"/>
      <c r="AB99" s="105">
        <f t="shared" si="15"/>
        <v>0</v>
      </c>
      <c r="AC99" s="105">
        <f t="shared" si="16"/>
        <v>0</v>
      </c>
      <c r="AD99" s="105">
        <f t="shared" si="21"/>
        <v>0</v>
      </c>
    </row>
    <row r="100" spans="1:30" ht="15" customHeight="1" x14ac:dyDescent="0.25">
      <c r="A100" s="96"/>
      <c r="B100" s="97"/>
      <c r="C100" s="97"/>
      <c r="D100" s="97"/>
      <c r="E100" s="105">
        <f>IFERROR(INDEX(Employees!$L:$L,SUMPRODUCT((Employees!$A$2:$A$102=C100)*(Employees!$C$2:$C$102=D100)*ROW(Employees!$A$2:$A$102))),"")</f>
        <v>0</v>
      </c>
      <c r="F100" s="97"/>
      <c r="G100" s="105">
        <f>IFERROR(INDEX(Employees!$M:$M,SUMPRODUCT((Employees!$A$2:$A$102=C100)*(Employees!$C$2:$C$102=D100)*ROW(Employees!$A$2:$A$102))),"")</f>
        <v>0</v>
      </c>
      <c r="H100" s="97"/>
      <c r="I100" s="105">
        <f>IFERROR(ROUND(G100*Settings!$C$5,4),"")</f>
        <v>0</v>
      </c>
      <c r="J100" s="105">
        <f t="shared" si="18"/>
        <v>0</v>
      </c>
      <c r="K100" s="97"/>
      <c r="L100" s="105">
        <f>IFERROR(ROUND(G100*Settings!$C$6,4),"")</f>
        <v>0</v>
      </c>
      <c r="M100" s="105">
        <f t="shared" si="19"/>
        <v>0</v>
      </c>
      <c r="N100" s="97"/>
      <c r="O100" s="97"/>
      <c r="P100" s="105">
        <f t="shared" si="20"/>
        <v>0</v>
      </c>
      <c r="Q100" s="97"/>
      <c r="R100" s="97"/>
      <c r="S100" s="97"/>
      <c r="T100" s="97"/>
      <c r="U100" s="97"/>
      <c r="V100" s="97"/>
      <c r="W100" s="97"/>
      <c r="X100" s="97"/>
      <c r="Y100" s="97"/>
      <c r="Z100" s="97"/>
      <c r="AA100" s="97"/>
      <c r="AB100" s="105">
        <f t="shared" si="15"/>
        <v>0</v>
      </c>
      <c r="AC100" s="105">
        <f t="shared" si="16"/>
        <v>0</v>
      </c>
      <c r="AD100" s="105">
        <f t="shared" si="21"/>
        <v>0</v>
      </c>
    </row>
  </sheetData>
  <sheetProtection sheet="1" formatCells="0" formatColumns="0" formatRows="0" insertRows="0"/>
  <dataValidations count="2">
    <dataValidation type="list" allowBlank="1" sqref="C2:C100" xr:uid="{00000000-0002-0000-0300-000000000000}">
      <formula1>CompanyList</formula1>
      <formula2>0</formula2>
    </dataValidation>
    <dataValidation type="list" allowBlank="1" sqref="D2:D100" xr:uid="{00000000-0002-0000-0300-000001000000}">
      <formula1>EmployeeList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1"/>
  <sheetViews>
    <sheetView zoomScaleNormal="100" workbookViewId="0"/>
  </sheetViews>
  <sheetFormatPr defaultColWidth="8.7109375" defaultRowHeight="15" x14ac:dyDescent="0.25"/>
  <cols>
    <col min="1" max="1" width="18" style="10" customWidth="1"/>
    <col min="2" max="2" width="30" style="10" customWidth="1"/>
    <col min="3" max="3" width="18" style="10" customWidth="1"/>
    <col min="4" max="4" width="35" style="10" customWidth="1"/>
    <col min="5" max="5" width="6" style="10" customWidth="1"/>
    <col min="6" max="6" width="24" style="10" customWidth="1"/>
    <col min="7" max="7" width="6" style="10" customWidth="1"/>
    <col min="8" max="8" width="24" style="10" customWidth="1"/>
    <col min="9" max="9" width="6" style="10" customWidth="1"/>
    <col min="10" max="10" width="28" style="10" customWidth="1"/>
    <col min="12" max="12" width="16" style="10" customWidth="1"/>
    <col min="14" max="14" width="16" style="10" customWidth="1"/>
  </cols>
  <sheetData>
    <row r="1" spans="1:14" ht="15" customHeight="1" x14ac:dyDescent="0.25">
      <c r="A1" s="79" t="s">
        <v>190</v>
      </c>
      <c r="B1" s="79" t="s">
        <v>191</v>
      </c>
      <c r="C1" s="79" t="s">
        <v>192</v>
      </c>
      <c r="D1" s="79" t="s">
        <v>193</v>
      </c>
      <c r="F1" s="106" t="s">
        <v>194</v>
      </c>
      <c r="H1" s="106" t="s">
        <v>195</v>
      </c>
      <c r="J1" s="106" t="s">
        <v>196</v>
      </c>
      <c r="L1" s="80" t="s">
        <v>197</v>
      </c>
      <c r="N1" s="80" t="s">
        <v>198</v>
      </c>
    </row>
    <row r="2" spans="1:14" ht="15" customHeight="1" x14ac:dyDescent="0.25">
      <c r="A2" s="82" t="s">
        <v>199</v>
      </c>
      <c r="B2" s="82" t="s">
        <v>200</v>
      </c>
      <c r="C2" s="107">
        <v>0.01</v>
      </c>
      <c r="D2" s="82" t="s">
        <v>201</v>
      </c>
      <c r="F2" s="82" t="s">
        <v>87</v>
      </c>
      <c r="H2" s="82" t="s">
        <v>90</v>
      </c>
      <c r="J2" s="82" t="s">
        <v>156</v>
      </c>
      <c r="L2" s="10" t="s">
        <v>91</v>
      </c>
      <c r="N2" s="10" t="s">
        <v>92</v>
      </c>
    </row>
    <row r="3" spans="1:14" ht="15" customHeight="1" x14ac:dyDescent="0.25">
      <c r="A3" s="82" t="s">
        <v>199</v>
      </c>
      <c r="B3" s="82" t="s">
        <v>202</v>
      </c>
      <c r="C3" s="108">
        <v>177.12</v>
      </c>
      <c r="D3" s="82" t="s">
        <v>203</v>
      </c>
      <c r="F3" s="82" t="s">
        <v>204</v>
      </c>
      <c r="H3" s="82" t="s">
        <v>111</v>
      </c>
      <c r="J3" s="82" t="s">
        <v>205</v>
      </c>
      <c r="L3" s="10" t="s">
        <v>206</v>
      </c>
      <c r="N3" s="10" t="s">
        <v>207</v>
      </c>
    </row>
    <row r="4" spans="1:14" ht="15" customHeight="1" x14ac:dyDescent="0.25">
      <c r="A4" s="82" t="s">
        <v>208</v>
      </c>
      <c r="B4" s="82" t="s">
        <v>209</v>
      </c>
      <c r="C4" s="82">
        <v>195</v>
      </c>
      <c r="D4" s="82" t="s">
        <v>210</v>
      </c>
      <c r="F4" s="82" t="s">
        <v>211</v>
      </c>
      <c r="H4" s="82" t="s">
        <v>212</v>
      </c>
      <c r="J4" s="82" t="s">
        <v>213</v>
      </c>
      <c r="L4" s="10" t="s">
        <v>214</v>
      </c>
      <c r="N4" s="10" t="s">
        <v>215</v>
      </c>
    </row>
    <row r="5" spans="1:14" ht="15" customHeight="1" x14ac:dyDescent="0.25">
      <c r="A5" s="82" t="s">
        <v>216</v>
      </c>
      <c r="B5" s="82" t="s">
        <v>217</v>
      </c>
      <c r="C5" s="108">
        <v>1.5</v>
      </c>
      <c r="D5" s="82" t="s">
        <v>218</v>
      </c>
      <c r="J5" s="82" t="s">
        <v>219</v>
      </c>
      <c r="N5" s="10" t="s">
        <v>220</v>
      </c>
    </row>
    <row r="6" spans="1:14" ht="15" customHeight="1" x14ac:dyDescent="0.25">
      <c r="A6" s="82" t="s">
        <v>216</v>
      </c>
      <c r="B6" s="82" t="s">
        <v>221</v>
      </c>
      <c r="C6" s="108">
        <v>2</v>
      </c>
      <c r="D6" s="82" t="s">
        <v>222</v>
      </c>
      <c r="J6" s="82" t="s">
        <v>168</v>
      </c>
    </row>
    <row r="7" spans="1:14" ht="15" customHeight="1" x14ac:dyDescent="0.25">
      <c r="A7" s="82" t="s">
        <v>223</v>
      </c>
      <c r="B7" s="82" t="s">
        <v>224</v>
      </c>
      <c r="C7" s="82" t="s">
        <v>225</v>
      </c>
      <c r="D7" s="82" t="s">
        <v>226</v>
      </c>
      <c r="J7" s="82" t="s">
        <v>169</v>
      </c>
    </row>
    <row r="8" spans="1:14" ht="15" customHeight="1" x14ac:dyDescent="0.25">
      <c r="J8" s="82" t="s">
        <v>170</v>
      </c>
    </row>
    <row r="9" spans="1:14" ht="15" customHeight="1" x14ac:dyDescent="0.25">
      <c r="J9" s="82" t="s">
        <v>227</v>
      </c>
    </row>
    <row r="10" spans="1:14" ht="15" customHeight="1" x14ac:dyDescent="0.25">
      <c r="J10" s="82" t="s">
        <v>228</v>
      </c>
    </row>
    <row r="11" spans="1:14" ht="15" customHeight="1" x14ac:dyDescent="0.25">
      <c r="J11" s="82" t="s">
        <v>229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8</vt:i4>
      </vt:variant>
    </vt:vector>
  </HeadingPairs>
  <TitlesOfParts>
    <vt:vector size="13" baseType="lpstr">
      <vt:lpstr>Payslip Template</vt:lpstr>
      <vt:lpstr>Companies</vt:lpstr>
      <vt:lpstr>Employees</vt:lpstr>
      <vt:lpstr>Payroll Data</vt:lpstr>
      <vt:lpstr>Settings</vt:lpstr>
      <vt:lpstr>AccountTypeList</vt:lpstr>
      <vt:lpstr>CompanyList</vt:lpstr>
      <vt:lpstr>EmployeeList</vt:lpstr>
      <vt:lpstr>EmployeeStatusList</vt:lpstr>
      <vt:lpstr>PayFrequencyList</vt:lpstr>
      <vt:lpstr>PaymentModeList</vt:lpstr>
      <vt:lpstr>PayPeriodList</vt:lpstr>
      <vt:lpstr>'Payslip Template'!Print_Area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Dev Doc</cp:lastModifiedBy>
  <cp:revision>0</cp:revision>
  <cp:lastPrinted>2026-09-26T08:10:25Z</cp:lastPrinted>
  <dcterms:created xsi:type="dcterms:W3CDTF">2021-03-20T19:28:21Z</dcterms:created>
  <dcterms:modified xsi:type="dcterms:W3CDTF">2026-09-28T13:19:50Z</dcterms:modified>
  <dc:language>en-US</dc:language>
</cp:coreProperties>
</file>